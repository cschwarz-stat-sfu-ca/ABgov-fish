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160" yWindow="210" windowWidth="12810" windowHeight="11760" tabRatio="776"/>
  </bookViews>
  <sheets>
    <sheet name="October" sheetId="1" r:id="rId1"/>
    <sheet name="Sept" sheetId="3" r:id="rId2"/>
  </sheets>
  <calcPr calcId="145621"/>
</workbook>
</file>

<file path=xl/calcChain.xml><?xml version="1.0" encoding="utf-8"?>
<calcChain xmlns="http://schemas.openxmlformats.org/spreadsheetml/2006/main">
  <c r="S54" i="1" l="1"/>
  <c r="S52" i="1"/>
  <c r="S50" i="1"/>
  <c r="S48" i="1"/>
  <c r="S46" i="1"/>
  <c r="S44" i="1"/>
  <c r="S42" i="1"/>
  <c r="S40" i="1"/>
  <c r="S38" i="1"/>
  <c r="S36" i="1"/>
  <c r="S34" i="1"/>
  <c r="S32" i="1"/>
  <c r="S30" i="1"/>
  <c r="S28" i="1"/>
  <c r="S26" i="1"/>
  <c r="S24" i="1"/>
  <c r="S22" i="1"/>
  <c r="S20" i="1"/>
  <c r="S18" i="1"/>
  <c r="S16" i="1"/>
  <c r="S14" i="1"/>
  <c r="S12" i="1"/>
  <c r="S10" i="1"/>
  <c r="S8" i="1"/>
  <c r="S6" i="1"/>
  <c r="S4" i="1"/>
  <c r="U58" i="3"/>
  <c r="U56" i="3"/>
  <c r="U54" i="3"/>
  <c r="U52" i="3"/>
  <c r="U50" i="3"/>
  <c r="U48" i="3"/>
  <c r="U46" i="3"/>
  <c r="U44" i="3"/>
  <c r="U42" i="3"/>
  <c r="U40" i="3"/>
  <c r="U38" i="3"/>
  <c r="U36" i="3"/>
  <c r="U34" i="3"/>
  <c r="U32" i="3"/>
  <c r="U30" i="3"/>
  <c r="U28" i="3"/>
  <c r="U26" i="3"/>
  <c r="U24" i="3"/>
  <c r="U22" i="3"/>
  <c r="U20" i="3"/>
  <c r="U18" i="3"/>
  <c r="U16" i="3"/>
  <c r="U14" i="3"/>
  <c r="U12" i="3"/>
  <c r="U10" i="3"/>
  <c r="U8" i="3"/>
  <c r="U6" i="3"/>
  <c r="U4" i="3"/>
  <c r="F58" i="1" l="1"/>
  <c r="R4" i="1" l="1"/>
  <c r="R6" i="1"/>
  <c r="R8" i="1"/>
  <c r="R10" i="1"/>
  <c r="R12" i="1"/>
  <c r="R14" i="1"/>
  <c r="R16" i="1"/>
  <c r="R18" i="1"/>
  <c r="R20" i="1"/>
  <c r="R22" i="1"/>
  <c r="R24" i="1"/>
  <c r="R26" i="1"/>
  <c r="R28" i="1"/>
  <c r="R30" i="1"/>
  <c r="R32" i="1"/>
  <c r="R34" i="1"/>
  <c r="R36" i="1"/>
  <c r="R38" i="1"/>
  <c r="R40" i="1"/>
  <c r="R42" i="1"/>
  <c r="R44" i="1"/>
  <c r="R46" i="1"/>
  <c r="R48" i="1"/>
  <c r="R50" i="1"/>
  <c r="R52" i="1"/>
  <c r="R54" i="1"/>
  <c r="T4" i="3"/>
  <c r="T6" i="3"/>
  <c r="T8" i="3"/>
  <c r="T10" i="3"/>
  <c r="T12" i="3"/>
  <c r="T14" i="3"/>
  <c r="T16" i="3"/>
  <c r="T18" i="3"/>
  <c r="T20" i="3"/>
  <c r="T22" i="3"/>
  <c r="T24" i="3"/>
  <c r="T27" i="3"/>
  <c r="T29" i="3"/>
  <c r="T31" i="3"/>
  <c r="T33" i="3"/>
  <c r="T35" i="3"/>
  <c r="T37" i="3"/>
  <c r="T39" i="3"/>
  <c r="T41" i="3"/>
  <c r="T43" i="3"/>
  <c r="T45" i="3"/>
  <c r="T47" i="3"/>
  <c r="T49" i="3"/>
  <c r="T51" i="3"/>
  <c r="T53" i="3"/>
  <c r="T55" i="3"/>
  <c r="T57" i="3"/>
  <c r="Q56" i="1" l="1"/>
  <c r="Q4" i="1"/>
  <c r="Q6" i="1"/>
  <c r="Q8" i="1"/>
  <c r="Q10" i="1"/>
  <c r="Q12" i="1"/>
  <c r="Q14" i="1"/>
  <c r="Q16" i="1"/>
  <c r="Q18" i="1"/>
  <c r="Q20" i="1"/>
  <c r="Q22" i="1"/>
  <c r="Q24" i="1"/>
  <c r="Q26" i="1"/>
  <c r="Q28" i="1"/>
  <c r="Q30" i="1"/>
  <c r="Q32" i="1"/>
  <c r="Q34" i="1"/>
  <c r="Q36" i="1"/>
  <c r="Q38" i="1"/>
  <c r="Q40" i="1"/>
  <c r="Q42" i="1"/>
  <c r="Q44" i="1"/>
  <c r="Q46" i="1"/>
  <c r="Q48" i="1"/>
  <c r="Q50" i="1"/>
  <c r="Q52" i="1"/>
  <c r="Q54" i="1"/>
  <c r="S4" i="3"/>
  <c r="S6" i="3"/>
  <c r="S8" i="3"/>
  <c r="S10" i="3"/>
  <c r="S12" i="3"/>
  <c r="S14" i="3"/>
  <c r="S16" i="3"/>
  <c r="S18" i="3"/>
  <c r="S20" i="3"/>
  <c r="S22" i="3"/>
  <c r="S24" i="3"/>
  <c r="S27" i="3"/>
  <c r="S29" i="3"/>
  <c r="S31" i="3"/>
  <c r="S33" i="3"/>
  <c r="S35" i="3"/>
  <c r="S37" i="3"/>
  <c r="S39" i="3"/>
  <c r="S41" i="3"/>
  <c r="S43" i="3"/>
  <c r="S45" i="3"/>
  <c r="S47" i="3"/>
  <c r="S49" i="3"/>
  <c r="S51" i="3"/>
  <c r="S53" i="3"/>
  <c r="S55" i="3"/>
  <c r="S57" i="3"/>
  <c r="I57" i="1" l="1"/>
  <c r="J57" i="1"/>
  <c r="K57" i="1"/>
  <c r="L57" i="1"/>
  <c r="M57" i="1"/>
  <c r="N57" i="1"/>
  <c r="I59" i="3"/>
  <c r="J59" i="3"/>
  <c r="F60" i="3" s="1"/>
  <c r="K59" i="3"/>
  <c r="L59" i="3"/>
  <c r="M59" i="3"/>
  <c r="N59" i="3"/>
  <c r="O59" i="3"/>
  <c r="P59" i="3"/>
  <c r="H60" i="3" l="1"/>
  <c r="H59" i="3"/>
  <c r="G59" i="3"/>
  <c r="H57" i="1"/>
  <c r="G57" i="1"/>
  <c r="R57" i="3"/>
  <c r="R55" i="3"/>
  <c r="R53" i="3"/>
  <c r="R51" i="3"/>
  <c r="R49" i="3"/>
  <c r="R47" i="3"/>
  <c r="R45" i="3"/>
  <c r="R43" i="3"/>
  <c r="R41" i="3"/>
  <c r="R39" i="3"/>
  <c r="R37" i="3"/>
  <c r="R35" i="3"/>
  <c r="R33" i="3"/>
  <c r="R31" i="3"/>
  <c r="R29" i="3"/>
  <c r="R27" i="3"/>
  <c r="R24" i="3"/>
  <c r="R22" i="3"/>
  <c r="R20" i="3"/>
  <c r="R18" i="3"/>
  <c r="R16" i="3"/>
  <c r="R14" i="3"/>
  <c r="R12" i="3"/>
  <c r="R10" i="3"/>
  <c r="R60" i="3" s="1"/>
  <c r="R8" i="3"/>
  <c r="R6" i="3"/>
  <c r="R4" i="3"/>
  <c r="P56" i="1"/>
  <c r="P54" i="1"/>
  <c r="P52" i="1"/>
  <c r="P50" i="1"/>
  <c r="P48" i="1"/>
  <c r="P46" i="1"/>
  <c r="P44" i="1"/>
  <c r="P42" i="1"/>
  <c r="P40" i="1"/>
  <c r="P38" i="1"/>
  <c r="P36" i="1"/>
  <c r="P34" i="1"/>
  <c r="P32" i="1"/>
  <c r="P30" i="1"/>
  <c r="P28" i="1"/>
  <c r="P26" i="1"/>
  <c r="P24" i="1"/>
  <c r="P22" i="1"/>
  <c r="P20" i="1"/>
  <c r="P18" i="1"/>
  <c r="P16" i="1"/>
  <c r="P14" i="1"/>
  <c r="P12" i="1"/>
  <c r="P10" i="1"/>
  <c r="P8" i="1"/>
  <c r="P6" i="1"/>
  <c r="P4" i="1"/>
  <c r="H56" i="1" l="1"/>
  <c r="G56" i="1"/>
</calcChain>
</file>

<file path=xl/sharedStrings.xml><?xml version="1.0" encoding="utf-8"?>
<sst xmlns="http://schemas.openxmlformats.org/spreadsheetml/2006/main" count="368" uniqueCount="143">
  <si>
    <t>Reach</t>
  </si>
  <si>
    <t>A</t>
  </si>
  <si>
    <t>B</t>
  </si>
  <si>
    <t>C</t>
  </si>
  <si>
    <t>D</t>
  </si>
  <si>
    <t>Section</t>
  </si>
  <si>
    <t>Start</t>
  </si>
  <si>
    <t>End</t>
  </si>
  <si>
    <t>Seconds (whole reach)</t>
  </si>
  <si>
    <t>Date (whole reach)</t>
  </si>
  <si>
    <t># MNWH</t>
  </si>
  <si>
    <t># BLTR</t>
  </si>
  <si>
    <t># RNTR</t>
  </si>
  <si>
    <t># LNSC</t>
  </si>
  <si>
    <t># NRPK</t>
  </si>
  <si>
    <t># PGWH</t>
  </si>
  <si>
    <t># WHSC</t>
  </si>
  <si>
    <t># LKWH</t>
  </si>
  <si>
    <t>53° 00.082
118° 03.257</t>
  </si>
  <si>
    <t>53° 00.280
118° 03.487</t>
  </si>
  <si>
    <t>NOT RECORDED</t>
  </si>
  <si>
    <t>53° 00.408
118° 03.761</t>
  </si>
  <si>
    <t>53° 00.605
118° 04.150</t>
  </si>
  <si>
    <t>53° 00.797
118° 04.330</t>
  </si>
  <si>
    <t>53° 01.028
118° 04.417</t>
  </si>
  <si>
    <t>53° 01.222
118° 04.710</t>
  </si>
  <si>
    <t>53°01.484
118°04.880</t>
  </si>
  <si>
    <t>52° 59. 928
118° 03.023</t>
  </si>
  <si>
    <t xml:space="preserve">52° 50. 839 
118° 04. 030 </t>
  </si>
  <si>
    <t xml:space="preserve">52° 51. 083 
118° 04. 193 </t>
  </si>
  <si>
    <t xml:space="preserve">52° 51. 253 
118° 04. 485 </t>
  </si>
  <si>
    <t xml:space="preserve">52° 51. 410 
118° 04. 614 </t>
  </si>
  <si>
    <t xml:space="preserve">52° 51. 604 
118° 04. 295 </t>
  </si>
  <si>
    <t xml:space="preserve">52° 51. 730 
118° 04. 040 </t>
  </si>
  <si>
    <t xml:space="preserve">52° 51. 942 
118° 04. 081 </t>
  </si>
  <si>
    <t xml:space="preserve">52° 52. 083 
118° 03. 811 </t>
  </si>
  <si>
    <t xml:space="preserve">52° 52. 274 
118° 03. 794 </t>
  </si>
  <si>
    <t xml:space="preserve">52° 52. 384 
118° 04. 162 </t>
  </si>
  <si>
    <t xml:space="preserve">52° 52. 614 
118° 04. 264 </t>
  </si>
  <si>
    <t xml:space="preserve">52° 52. 839 
118° 04. 317 </t>
  </si>
  <si>
    <t xml:space="preserve">52° 53. 120 
118° 04. 205 </t>
  </si>
  <si>
    <t xml:space="preserve">52° 53. 321 
118° 03. 921 </t>
  </si>
  <si>
    <t xml:space="preserve">52° 53. 506 
118° 03. 719 </t>
  </si>
  <si>
    <t xml:space="preserve">52° 53. 729 
118° 03. 611 </t>
  </si>
  <si>
    <t xml:space="preserve">52° 53. 964 
118° 03. 687 </t>
  </si>
  <si>
    <t xml:space="preserve">52° 54. 131 
118° 03. 860 
</t>
  </si>
  <si>
    <t xml:space="preserve">52° 54. 344 
118° 03. 621 </t>
  </si>
  <si>
    <t xml:space="preserve">52° 54.344 
118° 03. 621 </t>
  </si>
  <si>
    <t xml:space="preserve">52° 54. 597 
118° 03. 487 </t>
  </si>
  <si>
    <t xml:space="preserve">52° 54. 801 
118° 03. 394 </t>
  </si>
  <si>
    <t xml:space="preserve">52° 55. 059 
118° 03. 040 </t>
  </si>
  <si>
    <t xml:space="preserve">52° 55. 218 
118° 02. 817 </t>
  </si>
  <si>
    <t xml:space="preserve">52° 55. 355 
118° 02. 492 </t>
  </si>
  <si>
    <t xml:space="preserve">52° 55. 648 
118° 02. 154 </t>
  </si>
  <si>
    <t xml:space="preserve">52° 55. 880 
118° 02. 091 </t>
  </si>
  <si>
    <t xml:space="preserve">52° 56. 076 
118° 02. 110 </t>
  </si>
  <si>
    <t xml:space="preserve">52° 56. 313 
118° 01. 997 </t>
  </si>
  <si>
    <t xml:space="preserve">52° 56. 507 
118° 01. 930 </t>
  </si>
  <si>
    <t xml:space="preserve">52° 56. 756
118° 02. 259 </t>
  </si>
  <si>
    <t xml:space="preserve">52° 57. 001 
118° 02. 155 </t>
  </si>
  <si>
    <t xml:space="preserve">52° 57. 211 
118° 02. 323 </t>
  </si>
  <si>
    <t xml:space="preserve">52° 57. 500 
118° 02. 236 </t>
  </si>
  <si>
    <t xml:space="preserve">52° 57. 732 
118° 02. 497 </t>
  </si>
  <si>
    <t xml:space="preserve">52° 57. 908
118° 02. 793 </t>
  </si>
  <si>
    <t xml:space="preserve">52° 58. 094 
118° 03. 029 </t>
  </si>
  <si>
    <t xml:space="preserve">52° 58. 413 
118° 02. 989 </t>
  </si>
  <si>
    <t xml:space="preserve">52° 58. 548 
118° 02. 628 </t>
  </si>
  <si>
    <t xml:space="preserve">52° 58. 795 
118° 02. 508 </t>
  </si>
  <si>
    <t xml:space="preserve">52° 58. 979 
118° 02. 764 </t>
  </si>
  <si>
    <t xml:space="preserve">52° 59. 143 
118°02. 977 </t>
  </si>
  <si>
    <t xml:space="preserve">52° 59  407 
118° 03. 147 </t>
  </si>
  <si>
    <t xml:space="preserve">52° 59. 672 
118° 03. 057 </t>
  </si>
  <si>
    <t>MNWH/km</t>
  </si>
  <si>
    <t># LNDC</t>
  </si>
  <si>
    <t># BKTR</t>
  </si>
  <si>
    <t xml:space="preserve">MNWH BY 1 km </t>
  </si>
  <si>
    <r>
      <t>52</t>
    </r>
    <r>
      <rPr>
        <sz val="11"/>
        <color theme="1"/>
        <rFont val="Calibri"/>
        <family val="2"/>
      </rPr>
      <t>° 51.210
118° 04.380</t>
    </r>
  </si>
  <si>
    <t>52° 51.210
118° 04.380</t>
  </si>
  <si>
    <t>427442E
5856991N</t>
  </si>
  <si>
    <t>52° 51.774'
118° 04.020'</t>
  </si>
  <si>
    <t>52° 51.977'
118° 03.930'</t>
  </si>
  <si>
    <t>52° 52.197'
118° 03.784'</t>
  </si>
  <si>
    <t>52° 52.279'
118° 03.802'</t>
  </si>
  <si>
    <t>52° 52.330'
118° 04.099'</t>
  </si>
  <si>
    <t>52° 52.542'
118° 04.225'</t>
  </si>
  <si>
    <t>52° 52.795'
118° 04.322'</t>
  </si>
  <si>
    <t>52° 53.043'
118° 04.298'</t>
  </si>
  <si>
    <t>52° 53.243'
118° 04.086'</t>
  </si>
  <si>
    <t>52° 53.499'
118° 03.733'</t>
  </si>
  <si>
    <t>52° 53.790'
118° 03.587'</t>
  </si>
  <si>
    <t>52° 53.9691'
118° 03.741'</t>
  </si>
  <si>
    <t>52° 54.250'
118° 03.166'</t>
  </si>
  <si>
    <t>52° 54.443'
118° 03.575'</t>
  </si>
  <si>
    <t>52° 54.675'
118° 03.448'</t>
  </si>
  <si>
    <t>52° 54.911'
118° 03.270'</t>
  </si>
  <si>
    <t>52° 55.129'
118° 02.984'</t>
  </si>
  <si>
    <t>52° 55.260'
118° 02.664'</t>
  </si>
  <si>
    <t>52° 55.468'
118° 02.347'</t>
  </si>
  <si>
    <t>52° 55.733'
118° 02.122'</t>
  </si>
  <si>
    <t>52° 55.979'
118° 02.030'</t>
  </si>
  <si>
    <t>52° 56.236'
118° 02.074'</t>
  </si>
  <si>
    <t>52° 56.490'
118° 01.963'</t>
  </si>
  <si>
    <t>52° 56.727'
118° 02.108'</t>
  </si>
  <si>
    <t>52° 56.955'
118° 02.163'</t>
  </si>
  <si>
    <t>52° 57.175'
118° 02.314'</t>
  </si>
  <si>
    <t>52° 57.415'
118° 02.288'</t>
  </si>
  <si>
    <t>52° 57.658'
118° 02.400'</t>
  </si>
  <si>
    <t>52° 57.850'
118° 02.682'</t>
  </si>
  <si>
    <t>52° 58.072'
118° 02.923'</t>
  </si>
  <si>
    <t>52° 58.267'
118° 03.159'</t>
  </si>
  <si>
    <t>52° 58.505'
118° 02.919'</t>
  </si>
  <si>
    <t>52° 58.673'
118° 02.497'</t>
  </si>
  <si>
    <t>52° 58.918'
118° 02.645'</t>
  </si>
  <si>
    <t>52° 59.084'
118° 02.945'</t>
  </si>
  <si>
    <t>52° 59.322'
118° 03.120'</t>
  </si>
  <si>
    <t>52° 59.499'
118° 03.086'</t>
  </si>
  <si>
    <t>52° 59.787'
118° 03.061'</t>
  </si>
  <si>
    <t>53° 00.029'
118° 03.196'</t>
  </si>
  <si>
    <t>53° 00.169'
118° 03.565'</t>
  </si>
  <si>
    <t>53°00.350'
118°03.730'</t>
  </si>
  <si>
    <t>53° 00.350'
118° 03.730'</t>
  </si>
  <si>
    <t>53° 00.543'
118° 04.054'</t>
  </si>
  <si>
    <t>53° 00.792'
118° 04.321'</t>
  </si>
  <si>
    <t>53° 00.992'
118° 04.406'</t>
  </si>
  <si>
    <t>53° 01.212'
118° 04.666'</t>
  </si>
  <si>
    <t>53° 01.411'
118° 04.851'</t>
  </si>
  <si>
    <t>53° 01.612'
118° 04.931'</t>
  </si>
  <si>
    <t>53° 01.816'
118° 05.350'</t>
  </si>
  <si>
    <t>53° 02.064'
118° 05.261'</t>
  </si>
  <si>
    <t>53° 02.305'
118° 05.362'</t>
  </si>
  <si>
    <t>53° 02.5005'
118° 05.628'</t>
  </si>
  <si>
    <t>53° 02.742'
118° 05.602'</t>
  </si>
  <si>
    <t>Mean CUE</t>
  </si>
  <si>
    <t>Total</t>
  </si>
  <si>
    <t>52° 51.58'
118° 04.27'</t>
  </si>
  <si>
    <t>53° 02.96'
118° 05.745'</t>
  </si>
  <si>
    <t>53°01.732
118°05.049</t>
  </si>
  <si>
    <t>BLTR by km</t>
  </si>
  <si>
    <t>BLTR/km</t>
  </si>
  <si>
    <t>RNTR by km</t>
  </si>
  <si>
    <t>RNTR/km</t>
  </si>
  <si>
    <t xml:space="preserve">LNSC by km </t>
  </si>
  <si>
    <t>LNSC/km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</si>
</sst>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33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97232559860366"/>
          <c:y val="5.1400554097404488E-2"/>
          <c:w val="0.86796167891948828"/>
          <c:h val="0.79095290172061827"/>
        </c:manualLayout>
      </c:layout>
      <c:barChart>
        <c:barDir val="col"/>
        <c:grouping val="clustered"/>
        <c:varyColors val="0"/>
        <c:ser>
          <c:idx val="0"/>
          <c:order val="0"/>
          <c:tx>
            <c:v>MNWH</c:v>
          </c:tx>
          <c:spPr>
            <a:solidFill>
              <a:schemeClr val="tx1"/>
            </a:solidFill>
          </c:spPr>
          <c:invertIfNegative val="0"/>
          <c:cat>
            <c:numRef>
              <c:f>October!$A$2:$A$54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</c:numCache>
            </c:numRef>
          </c:cat>
          <c:val>
            <c:numRef>
              <c:f>October!$G$2:$G$54</c:f>
              <c:numCache>
                <c:formatCode>General</c:formatCode>
                <c:ptCount val="53"/>
                <c:pt idx="1">
                  <c:v>8</c:v>
                </c:pt>
                <c:pt idx="2">
                  <c:v>59</c:v>
                </c:pt>
                <c:pt idx="3">
                  <c:v>40</c:v>
                </c:pt>
                <c:pt idx="4">
                  <c:v>3</c:v>
                </c:pt>
                <c:pt idx="5">
                  <c:v>20</c:v>
                </c:pt>
                <c:pt idx="6">
                  <c:v>45</c:v>
                </c:pt>
                <c:pt idx="7">
                  <c:v>70</c:v>
                </c:pt>
                <c:pt idx="8">
                  <c:v>97</c:v>
                </c:pt>
                <c:pt idx="9">
                  <c:v>53</c:v>
                </c:pt>
                <c:pt idx="10">
                  <c:v>60</c:v>
                </c:pt>
                <c:pt idx="11">
                  <c:v>45</c:v>
                </c:pt>
                <c:pt idx="12">
                  <c:v>37</c:v>
                </c:pt>
                <c:pt idx="13">
                  <c:v>49</c:v>
                </c:pt>
                <c:pt idx="14">
                  <c:v>134</c:v>
                </c:pt>
                <c:pt idx="15">
                  <c:v>15</c:v>
                </c:pt>
                <c:pt idx="16">
                  <c:v>80</c:v>
                </c:pt>
                <c:pt idx="17">
                  <c:v>135</c:v>
                </c:pt>
                <c:pt idx="18">
                  <c:v>153</c:v>
                </c:pt>
                <c:pt idx="19">
                  <c:v>37</c:v>
                </c:pt>
                <c:pt idx="20">
                  <c:v>96</c:v>
                </c:pt>
                <c:pt idx="21">
                  <c:v>63</c:v>
                </c:pt>
                <c:pt idx="22">
                  <c:v>70</c:v>
                </c:pt>
                <c:pt idx="23">
                  <c:v>34</c:v>
                </c:pt>
                <c:pt idx="24">
                  <c:v>24</c:v>
                </c:pt>
                <c:pt idx="25">
                  <c:v>77</c:v>
                </c:pt>
                <c:pt idx="26">
                  <c:v>132</c:v>
                </c:pt>
                <c:pt idx="27">
                  <c:v>74</c:v>
                </c:pt>
                <c:pt idx="28">
                  <c:v>161</c:v>
                </c:pt>
                <c:pt idx="29">
                  <c:v>110</c:v>
                </c:pt>
                <c:pt idx="30">
                  <c:v>128</c:v>
                </c:pt>
                <c:pt idx="31">
                  <c:v>108</c:v>
                </c:pt>
                <c:pt idx="32">
                  <c:v>14</c:v>
                </c:pt>
                <c:pt idx="33">
                  <c:v>37</c:v>
                </c:pt>
                <c:pt idx="34">
                  <c:v>16</c:v>
                </c:pt>
                <c:pt idx="35">
                  <c:v>14</c:v>
                </c:pt>
                <c:pt idx="36">
                  <c:v>9</c:v>
                </c:pt>
                <c:pt idx="37">
                  <c:v>15</c:v>
                </c:pt>
                <c:pt idx="38">
                  <c:v>10</c:v>
                </c:pt>
                <c:pt idx="39">
                  <c:v>22</c:v>
                </c:pt>
                <c:pt idx="40">
                  <c:v>4</c:v>
                </c:pt>
                <c:pt idx="41">
                  <c:v>9</c:v>
                </c:pt>
                <c:pt idx="42">
                  <c:v>21</c:v>
                </c:pt>
                <c:pt idx="43">
                  <c:v>6</c:v>
                </c:pt>
                <c:pt idx="44">
                  <c:v>28</c:v>
                </c:pt>
                <c:pt idx="45">
                  <c:v>7</c:v>
                </c:pt>
                <c:pt idx="46">
                  <c:v>5</c:v>
                </c:pt>
                <c:pt idx="47">
                  <c:v>19</c:v>
                </c:pt>
                <c:pt idx="48">
                  <c:v>10</c:v>
                </c:pt>
                <c:pt idx="49">
                  <c:v>115</c:v>
                </c:pt>
                <c:pt idx="50">
                  <c:v>71</c:v>
                </c:pt>
                <c:pt idx="51">
                  <c:v>108</c:v>
                </c:pt>
                <c:pt idx="52">
                  <c:v>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168128"/>
        <c:axId val="107170048"/>
      </c:barChart>
      <c:catAx>
        <c:axId val="107168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River reach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7170048"/>
        <c:crosses val="autoZero"/>
        <c:auto val="1"/>
        <c:lblAlgn val="ctr"/>
        <c:lblOffset val="100"/>
        <c:tickLblSkip val="6"/>
        <c:noMultiLvlLbl val="0"/>
      </c:catAx>
      <c:valAx>
        <c:axId val="107170048"/>
        <c:scaling>
          <c:orientation val="minMax"/>
          <c:max val="3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fish captured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7168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1079286964129488"/>
          <c:y val="0.27758566637503646"/>
          <c:w val="0.10417814688586813"/>
          <c:h val="8.371719160104987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19665693962393E-2"/>
          <c:y val="5.1400554097404488E-2"/>
          <c:w val="0.88041671321321846"/>
          <c:h val="0.81410104986876641"/>
        </c:manualLayout>
      </c:layout>
      <c:barChart>
        <c:barDir val="col"/>
        <c:grouping val="clustered"/>
        <c:varyColors val="0"/>
        <c:ser>
          <c:idx val="0"/>
          <c:order val="0"/>
          <c:tx>
            <c:v>BLTR</c:v>
          </c:tx>
          <c:spPr>
            <a:solidFill>
              <a:schemeClr val="tx1"/>
            </a:solidFill>
          </c:spPr>
          <c:invertIfNegative val="0"/>
          <c:cat>
            <c:numRef>
              <c:f>October!$A$2:$A$54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</c:numCache>
            </c:numRef>
          </c:cat>
          <c:val>
            <c:numRef>
              <c:f>October!$H$2:$H$54</c:f>
              <c:numCache>
                <c:formatCode>General</c:formatCode>
                <c:ptCount val="53"/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3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</c:ser>
        <c:ser>
          <c:idx val="1"/>
          <c:order val="1"/>
          <c:tx>
            <c:v>RNTR</c:v>
          </c:tx>
          <c:spPr>
            <a:solidFill>
              <a:srgbClr val="FF0000"/>
            </a:solidFill>
          </c:spPr>
          <c:invertIfNegative val="0"/>
          <c:cat>
            <c:numRef>
              <c:f>October!$A$2:$A$54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</c:numCache>
            </c:numRef>
          </c:cat>
          <c:val>
            <c:numRef>
              <c:f>October!$I$2:$I$54</c:f>
              <c:numCache>
                <c:formatCode>General</c:formatCode>
                <c:ptCount val="53"/>
                <c:pt idx="1">
                  <c:v>1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</c:ser>
        <c:ser>
          <c:idx val="2"/>
          <c:order val="2"/>
          <c:tx>
            <c:v>LNSC</c:v>
          </c:tx>
          <c:spPr>
            <a:solidFill>
              <a:srgbClr val="0000FF"/>
            </a:solidFill>
          </c:spPr>
          <c:invertIfNegative val="0"/>
          <c:cat>
            <c:numRef>
              <c:f>October!$A$2:$A$54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</c:numCache>
            </c:numRef>
          </c:cat>
          <c:val>
            <c:numRef>
              <c:f>October!$J$2:$J$54</c:f>
              <c:numCache>
                <c:formatCode>General</c:formatCode>
                <c:ptCount val="5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4</c:v>
                </c:pt>
                <c:pt idx="32">
                  <c:v>0</c:v>
                </c:pt>
                <c:pt idx="33">
                  <c:v>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2</c:v>
                </c:pt>
                <c:pt idx="40">
                  <c:v>2</c:v>
                </c:pt>
                <c:pt idx="41">
                  <c:v>1</c:v>
                </c:pt>
                <c:pt idx="42">
                  <c:v>1</c:v>
                </c:pt>
                <c:pt idx="43">
                  <c:v>22</c:v>
                </c:pt>
                <c:pt idx="44">
                  <c:v>3</c:v>
                </c:pt>
                <c:pt idx="45">
                  <c:v>0</c:v>
                </c:pt>
                <c:pt idx="46">
                  <c:v>3</c:v>
                </c:pt>
                <c:pt idx="47">
                  <c:v>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</c:v>
                </c:pt>
                <c:pt idx="5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7212800"/>
        <c:axId val="107214720"/>
      </c:barChart>
      <c:catAx>
        <c:axId val="107212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River reach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7214720"/>
        <c:crosses val="autoZero"/>
        <c:auto val="1"/>
        <c:lblAlgn val="ctr"/>
        <c:lblOffset val="100"/>
        <c:tickLblSkip val="6"/>
        <c:noMultiLvlLbl val="0"/>
      </c:catAx>
      <c:valAx>
        <c:axId val="107214720"/>
        <c:scaling>
          <c:orientation val="minMax"/>
          <c:max val="6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fish captured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72128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4951509186351708"/>
          <c:y val="0.18460921551472734"/>
          <c:w val="7.8723062205075509E-2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19665693962393E-2"/>
          <c:y val="5.1400554097404488E-2"/>
          <c:w val="0.88041671321321846"/>
          <c:h val="0.81410104986876641"/>
        </c:manualLayout>
      </c:layout>
      <c:barChart>
        <c:barDir val="col"/>
        <c:grouping val="clustered"/>
        <c:varyColors val="0"/>
        <c:ser>
          <c:idx val="0"/>
          <c:order val="0"/>
          <c:tx>
            <c:v>BLTR</c:v>
          </c:tx>
          <c:spPr>
            <a:solidFill>
              <a:schemeClr val="tx1"/>
            </a:solidFill>
          </c:spPr>
          <c:invertIfNegative val="0"/>
          <c:cat>
            <c:numRef>
              <c:f>Sept!$A$2:$A$58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</c:numCache>
            </c:numRef>
          </c:cat>
          <c:val>
            <c:numRef>
              <c:f>Sept!$H$2:$H$58</c:f>
              <c:numCache>
                <c:formatCode>General</c:formatCode>
                <c:ptCount val="5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3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</c:ser>
        <c:ser>
          <c:idx val="1"/>
          <c:order val="1"/>
          <c:tx>
            <c:v>RNTR</c:v>
          </c:tx>
          <c:spPr>
            <a:solidFill>
              <a:srgbClr val="FF0000"/>
            </a:solidFill>
          </c:spPr>
          <c:invertIfNegative val="0"/>
          <c:cat>
            <c:numRef>
              <c:f>Sept!$A$2:$A$58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</c:numCache>
            </c:numRef>
          </c:cat>
          <c:val>
            <c:numRef>
              <c:f>Sept!$I$2:$I$58</c:f>
              <c:numCache>
                <c:formatCode>General</c:formatCode>
                <c:ptCount val="5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</c:ser>
        <c:ser>
          <c:idx val="2"/>
          <c:order val="2"/>
          <c:tx>
            <c:v>LNSC</c:v>
          </c:tx>
          <c:spPr>
            <a:solidFill>
              <a:srgbClr val="0000FF"/>
            </a:solidFill>
          </c:spPr>
          <c:invertIfNegative val="0"/>
          <c:cat>
            <c:numRef>
              <c:f>Sept!$A$2:$A$58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</c:numCache>
            </c:numRef>
          </c:cat>
          <c:val>
            <c:numRef>
              <c:f>Sept!$J$2:$J$58</c:f>
              <c:numCache>
                <c:formatCode>General</c:formatCode>
                <c:ptCount val="5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0</c:v>
                </c:pt>
                <c:pt idx="29">
                  <c:v>1</c:v>
                </c:pt>
                <c:pt idx="30">
                  <c:v>2</c:v>
                </c:pt>
                <c:pt idx="31">
                  <c:v>0</c:v>
                </c:pt>
                <c:pt idx="32">
                  <c:v>0</c:v>
                </c:pt>
                <c:pt idx="33">
                  <c:v>2</c:v>
                </c:pt>
                <c:pt idx="34">
                  <c:v>1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5</c:v>
                </c:pt>
                <c:pt idx="40">
                  <c:v>5</c:v>
                </c:pt>
                <c:pt idx="41">
                  <c:v>1</c:v>
                </c:pt>
                <c:pt idx="42">
                  <c:v>0</c:v>
                </c:pt>
                <c:pt idx="43">
                  <c:v>4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3</c:v>
                </c:pt>
                <c:pt idx="50">
                  <c:v>2</c:v>
                </c:pt>
                <c:pt idx="51">
                  <c:v>0</c:v>
                </c:pt>
                <c:pt idx="52">
                  <c:v>0</c:v>
                </c:pt>
                <c:pt idx="53">
                  <c:v>3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7143552"/>
        <c:axId val="107145472"/>
      </c:barChart>
      <c:catAx>
        <c:axId val="107143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River reach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7145472"/>
        <c:crosses val="autoZero"/>
        <c:auto val="1"/>
        <c:lblAlgn val="ctr"/>
        <c:lblOffset val="100"/>
        <c:tickLblSkip val="6"/>
        <c:noMultiLvlLbl val="0"/>
      </c:catAx>
      <c:valAx>
        <c:axId val="1071454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fish captured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71435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4951509186351708"/>
          <c:y val="0.18460921551472734"/>
          <c:w val="7.8723062205075509E-2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6E-2"/>
          <c:y val="7.4433143773694949E-2"/>
          <c:w val="0.86800087489063871"/>
          <c:h val="0.77717957130358706"/>
        </c:manualLayout>
      </c:layout>
      <c:barChart>
        <c:barDir val="col"/>
        <c:grouping val="clustered"/>
        <c:varyColors val="0"/>
        <c:ser>
          <c:idx val="0"/>
          <c:order val="0"/>
          <c:tx>
            <c:v>MNWH</c:v>
          </c:tx>
          <c:spPr>
            <a:solidFill>
              <a:schemeClr val="tx1"/>
            </a:solidFill>
          </c:spPr>
          <c:invertIfNegative val="0"/>
          <c:cat>
            <c:numRef>
              <c:f>Sept!$A$2:$A$58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</c:numCache>
            </c:numRef>
          </c:cat>
          <c:val>
            <c:numRef>
              <c:f>Sept!$G$2:$G$58</c:f>
              <c:numCache>
                <c:formatCode>General</c:formatCode>
                <c:ptCount val="57"/>
                <c:pt idx="1">
                  <c:v>54</c:v>
                </c:pt>
                <c:pt idx="2">
                  <c:v>10</c:v>
                </c:pt>
                <c:pt idx="3">
                  <c:v>0</c:v>
                </c:pt>
                <c:pt idx="4">
                  <c:v>43</c:v>
                </c:pt>
                <c:pt idx="5">
                  <c:v>38</c:v>
                </c:pt>
                <c:pt idx="6">
                  <c:v>72</c:v>
                </c:pt>
                <c:pt idx="7">
                  <c:v>61</c:v>
                </c:pt>
                <c:pt idx="8">
                  <c:v>45</c:v>
                </c:pt>
                <c:pt idx="9">
                  <c:v>22</c:v>
                </c:pt>
                <c:pt idx="10">
                  <c:v>9</c:v>
                </c:pt>
                <c:pt idx="11">
                  <c:v>44</c:v>
                </c:pt>
                <c:pt idx="12">
                  <c:v>215</c:v>
                </c:pt>
                <c:pt idx="13">
                  <c:v>77</c:v>
                </c:pt>
                <c:pt idx="14">
                  <c:v>110</c:v>
                </c:pt>
                <c:pt idx="15">
                  <c:v>141</c:v>
                </c:pt>
                <c:pt idx="16">
                  <c:v>17</c:v>
                </c:pt>
                <c:pt idx="17">
                  <c:v>151</c:v>
                </c:pt>
                <c:pt idx="18">
                  <c:v>59</c:v>
                </c:pt>
                <c:pt idx="19">
                  <c:v>53</c:v>
                </c:pt>
                <c:pt idx="20">
                  <c:v>121</c:v>
                </c:pt>
                <c:pt idx="21">
                  <c:v>124</c:v>
                </c:pt>
                <c:pt idx="22">
                  <c:v>52</c:v>
                </c:pt>
                <c:pt idx="23">
                  <c:v>134</c:v>
                </c:pt>
                <c:pt idx="24">
                  <c:v>100</c:v>
                </c:pt>
                <c:pt idx="25">
                  <c:v>105</c:v>
                </c:pt>
                <c:pt idx="26">
                  <c:v>249</c:v>
                </c:pt>
                <c:pt idx="27">
                  <c:v>89</c:v>
                </c:pt>
                <c:pt idx="28">
                  <c:v>65</c:v>
                </c:pt>
                <c:pt idx="29">
                  <c:v>48</c:v>
                </c:pt>
                <c:pt idx="30">
                  <c:v>46</c:v>
                </c:pt>
                <c:pt idx="31">
                  <c:v>37</c:v>
                </c:pt>
                <c:pt idx="32">
                  <c:v>22</c:v>
                </c:pt>
                <c:pt idx="33">
                  <c:v>36</c:v>
                </c:pt>
                <c:pt idx="34">
                  <c:v>43</c:v>
                </c:pt>
                <c:pt idx="35">
                  <c:v>41</c:v>
                </c:pt>
                <c:pt idx="36">
                  <c:v>21</c:v>
                </c:pt>
                <c:pt idx="37">
                  <c:v>22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10</c:v>
                </c:pt>
                <c:pt idx="42">
                  <c:v>6</c:v>
                </c:pt>
                <c:pt idx="43">
                  <c:v>11</c:v>
                </c:pt>
                <c:pt idx="44">
                  <c:v>3</c:v>
                </c:pt>
                <c:pt idx="45">
                  <c:v>9</c:v>
                </c:pt>
                <c:pt idx="46">
                  <c:v>6</c:v>
                </c:pt>
                <c:pt idx="47">
                  <c:v>31</c:v>
                </c:pt>
                <c:pt idx="48">
                  <c:v>43</c:v>
                </c:pt>
                <c:pt idx="49">
                  <c:v>39</c:v>
                </c:pt>
                <c:pt idx="50">
                  <c:v>45</c:v>
                </c:pt>
                <c:pt idx="51">
                  <c:v>71</c:v>
                </c:pt>
                <c:pt idx="52">
                  <c:v>1</c:v>
                </c:pt>
                <c:pt idx="53">
                  <c:v>40</c:v>
                </c:pt>
                <c:pt idx="54">
                  <c:v>15</c:v>
                </c:pt>
                <c:pt idx="55">
                  <c:v>10</c:v>
                </c:pt>
                <c:pt idx="5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227392"/>
        <c:axId val="107237760"/>
      </c:barChart>
      <c:catAx>
        <c:axId val="107227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River reach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7237760"/>
        <c:crosses val="autoZero"/>
        <c:auto val="1"/>
        <c:lblAlgn val="ctr"/>
        <c:lblOffset val="100"/>
        <c:tickLblSkip val="6"/>
        <c:noMultiLvlLbl val="0"/>
      </c:catAx>
      <c:valAx>
        <c:axId val="1072377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fo fish captured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72273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61418426300316"/>
          <c:y val="0.16873177311169441"/>
          <c:w val="0.13087379702537183"/>
          <c:h val="8.371719160104987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95249</xdr:colOff>
      <xdr:row>2</xdr:row>
      <xdr:rowOff>204787</xdr:rowOff>
    </xdr:from>
    <xdr:to>
      <xdr:col>17</xdr:col>
      <xdr:colOff>352424</xdr:colOff>
      <xdr:row>9</xdr:row>
      <xdr:rowOff>261937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223838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357187</xdr:colOff>
      <xdr:row>4</xdr:row>
      <xdr:rowOff>166687</xdr:rowOff>
    </xdr:from>
    <xdr:to>
      <xdr:col>32</xdr:col>
      <xdr:colOff>581025</xdr:colOff>
      <xdr:row>11</xdr:row>
      <xdr:rowOff>242887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342900</xdr:colOff>
      <xdr:row>11</xdr:row>
      <xdr:rowOff>361950</xdr:rowOff>
    </xdr:from>
    <xdr:to>
      <xdr:col>32</xdr:col>
      <xdr:colOff>590550</xdr:colOff>
      <xdr:row>19</xdr:row>
      <xdr:rowOff>57150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68"/>
  <sheetViews>
    <sheetView tabSelected="1" workbookViewId="0">
      <pane ySplit="1" topLeftCell="A2" activePane="bottomLeft" state="frozen"/>
      <selection pane="bottomLeft" activeCell="C57" sqref="C57"/>
    </sheetView>
  </sheetViews>
  <sheetFormatPr defaultRowHeight="15" x14ac:dyDescent="0.25"/>
  <cols>
    <col min="3" max="4" width="14.7109375" customWidth="1"/>
    <col min="5" max="5" width="21.42578125" bestFit="1" customWidth="1"/>
    <col min="6" max="6" width="18.140625" bestFit="1" customWidth="1"/>
  </cols>
  <sheetData>
    <row r="1" spans="1:19" x14ac:dyDescent="0.25">
      <c r="A1" s="1" t="s">
        <v>0</v>
      </c>
      <c r="B1" s="1" t="s">
        <v>5</v>
      </c>
      <c r="C1" s="1" t="s">
        <v>6</v>
      </c>
      <c r="D1" s="1" t="s">
        <v>7</v>
      </c>
      <c r="E1" s="7" t="s">
        <v>8</v>
      </c>
      <c r="F1" s="7" t="s">
        <v>9</v>
      </c>
      <c r="G1" s="7" t="s">
        <v>10</v>
      </c>
      <c r="H1" s="7" t="s">
        <v>11</v>
      </c>
      <c r="I1" s="1" t="s">
        <v>12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P1" s="10" t="s">
        <v>72</v>
      </c>
      <c r="Q1" s="1" t="s">
        <v>138</v>
      </c>
      <c r="R1" s="1" t="s">
        <v>140</v>
      </c>
      <c r="S1" s="1" t="s">
        <v>142</v>
      </c>
    </row>
    <row r="2" spans="1:19" x14ac:dyDescent="0.25">
      <c r="A2" s="1">
        <v>0</v>
      </c>
      <c r="B2" s="1"/>
      <c r="C2" s="1"/>
      <c r="D2" s="1"/>
      <c r="E2" s="7"/>
      <c r="F2" s="7"/>
      <c r="G2" s="7"/>
      <c r="H2" s="7"/>
      <c r="I2" s="1"/>
      <c r="J2" s="1"/>
      <c r="K2" s="1"/>
      <c r="L2" s="1"/>
      <c r="M2" s="1"/>
      <c r="N2" s="1"/>
      <c r="P2" s="10"/>
      <c r="Q2" s="1"/>
      <c r="R2" s="1"/>
      <c r="S2" s="1"/>
    </row>
    <row r="3" spans="1:19" ht="31.5" customHeight="1" x14ac:dyDescent="0.25">
      <c r="A3" s="2">
        <v>1</v>
      </c>
      <c r="B3" s="2" t="s">
        <v>1</v>
      </c>
      <c r="C3" s="3" t="s">
        <v>28</v>
      </c>
      <c r="D3" s="3" t="s">
        <v>29</v>
      </c>
      <c r="E3" s="5">
        <v>1471</v>
      </c>
      <c r="F3" s="8">
        <v>42283</v>
      </c>
      <c r="G3" s="5">
        <v>8</v>
      </c>
      <c r="H3" s="5">
        <v>0</v>
      </c>
      <c r="I3" s="2">
        <v>1</v>
      </c>
      <c r="J3" s="2">
        <v>0</v>
      </c>
      <c r="K3" s="2">
        <v>0</v>
      </c>
      <c r="L3" s="2">
        <v>0</v>
      </c>
      <c r="M3" s="2">
        <v>0</v>
      </c>
      <c r="N3" s="5">
        <v>0</v>
      </c>
    </row>
    <row r="4" spans="1:19" ht="30" x14ac:dyDescent="0.25">
      <c r="A4" s="2">
        <v>1</v>
      </c>
      <c r="B4" s="2" t="s">
        <v>2</v>
      </c>
      <c r="C4" s="3" t="s">
        <v>29</v>
      </c>
      <c r="D4" s="3" t="s">
        <v>30</v>
      </c>
      <c r="E4" s="5">
        <v>1471</v>
      </c>
      <c r="F4" s="8">
        <v>42283</v>
      </c>
      <c r="G4" s="5">
        <v>59</v>
      </c>
      <c r="H4" s="5">
        <v>1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5">
        <v>0</v>
      </c>
      <c r="P4">
        <f>SUM(G3:G4)</f>
        <v>67</v>
      </c>
      <c r="Q4">
        <f>SUM(H3:H4)</f>
        <v>1</v>
      </c>
      <c r="R4">
        <f>SUM(I3:I4)</f>
        <v>1</v>
      </c>
      <c r="S4">
        <f>SUM(J3:J4)</f>
        <v>0</v>
      </c>
    </row>
    <row r="5" spans="1:19" ht="30" x14ac:dyDescent="0.25">
      <c r="A5" s="2">
        <v>1</v>
      </c>
      <c r="B5" s="2" t="s">
        <v>3</v>
      </c>
      <c r="C5" s="3" t="s">
        <v>30</v>
      </c>
      <c r="D5" s="3" t="s">
        <v>31</v>
      </c>
      <c r="E5" s="5">
        <v>1471</v>
      </c>
      <c r="F5" s="8">
        <v>42283</v>
      </c>
      <c r="G5" s="5">
        <v>40</v>
      </c>
      <c r="H5" s="5">
        <v>1</v>
      </c>
      <c r="I5" s="2">
        <v>5</v>
      </c>
      <c r="J5" s="2">
        <v>0</v>
      </c>
      <c r="K5" s="2">
        <v>0</v>
      </c>
      <c r="L5" s="2">
        <v>0</v>
      </c>
      <c r="M5" s="2">
        <v>0</v>
      </c>
      <c r="N5" s="5">
        <v>0</v>
      </c>
    </row>
    <row r="6" spans="1:19" ht="30" x14ac:dyDescent="0.25">
      <c r="A6" s="2">
        <v>1</v>
      </c>
      <c r="B6" s="2" t="s">
        <v>4</v>
      </c>
      <c r="C6" s="3" t="s">
        <v>31</v>
      </c>
      <c r="D6" s="3" t="s">
        <v>32</v>
      </c>
      <c r="E6" s="5">
        <v>1471</v>
      </c>
      <c r="F6" s="8">
        <v>42283</v>
      </c>
      <c r="G6" s="5">
        <v>3</v>
      </c>
      <c r="H6" s="5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5">
        <v>0</v>
      </c>
      <c r="P6">
        <f>SUM(G5:G6)</f>
        <v>43</v>
      </c>
      <c r="Q6">
        <f>SUM(H5:H6)</f>
        <v>1</v>
      </c>
      <c r="R6">
        <f>SUM(I5:I6)</f>
        <v>5</v>
      </c>
      <c r="S6">
        <f>SUM(J5:J6)</f>
        <v>0</v>
      </c>
    </row>
    <row r="7" spans="1:19" ht="30" x14ac:dyDescent="0.25">
      <c r="A7" s="2">
        <v>2</v>
      </c>
      <c r="B7" s="2" t="s">
        <v>1</v>
      </c>
      <c r="C7" s="3" t="s">
        <v>32</v>
      </c>
      <c r="D7" s="3" t="s">
        <v>33</v>
      </c>
      <c r="E7" s="5">
        <v>915</v>
      </c>
      <c r="F7" s="8">
        <v>42283</v>
      </c>
      <c r="G7" s="5">
        <v>20</v>
      </c>
      <c r="H7" s="5">
        <v>2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5">
        <v>0</v>
      </c>
    </row>
    <row r="8" spans="1:19" ht="30" x14ac:dyDescent="0.25">
      <c r="A8" s="2">
        <v>2</v>
      </c>
      <c r="B8" s="2" t="s">
        <v>2</v>
      </c>
      <c r="C8" s="3" t="s">
        <v>33</v>
      </c>
      <c r="D8" s="3" t="s">
        <v>34</v>
      </c>
      <c r="E8" s="5">
        <v>915</v>
      </c>
      <c r="F8" s="8">
        <v>42283</v>
      </c>
      <c r="G8" s="5">
        <v>45</v>
      </c>
      <c r="H8" s="5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5">
        <v>0</v>
      </c>
      <c r="P8">
        <f>SUM(G7:G8)</f>
        <v>65</v>
      </c>
      <c r="Q8">
        <f>SUM(H7:H8)</f>
        <v>2</v>
      </c>
      <c r="R8">
        <f>SUM(I7:I8)</f>
        <v>0</v>
      </c>
      <c r="S8">
        <f>SUM(J7:J8)</f>
        <v>0</v>
      </c>
    </row>
    <row r="9" spans="1:19" ht="30" x14ac:dyDescent="0.25">
      <c r="A9" s="2">
        <v>2</v>
      </c>
      <c r="B9" s="2" t="s">
        <v>3</v>
      </c>
      <c r="C9" s="3" t="s">
        <v>34</v>
      </c>
      <c r="D9" s="3" t="s">
        <v>35</v>
      </c>
      <c r="E9" s="5">
        <v>915</v>
      </c>
      <c r="F9" s="8">
        <v>42283</v>
      </c>
      <c r="G9" s="5">
        <v>70</v>
      </c>
      <c r="H9" s="5">
        <v>2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 s="5">
        <v>0</v>
      </c>
    </row>
    <row r="10" spans="1:19" ht="30" x14ac:dyDescent="0.25">
      <c r="A10" s="5">
        <v>2</v>
      </c>
      <c r="B10" s="5" t="s">
        <v>4</v>
      </c>
      <c r="C10" s="4" t="s">
        <v>35</v>
      </c>
      <c r="D10" s="4" t="s">
        <v>36</v>
      </c>
      <c r="E10" s="5">
        <v>915</v>
      </c>
      <c r="F10" s="8">
        <v>42283</v>
      </c>
      <c r="G10" s="5">
        <v>97</v>
      </c>
      <c r="H10" s="5">
        <v>2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/>
      <c r="P10">
        <f>SUM(G9:G10)</f>
        <v>167</v>
      </c>
      <c r="Q10">
        <f>SUM(H9:H10)</f>
        <v>4</v>
      </c>
      <c r="R10">
        <f>SUM(I9:I10)</f>
        <v>0</v>
      </c>
      <c r="S10">
        <f>SUM(J9:J10)</f>
        <v>0</v>
      </c>
    </row>
    <row r="11" spans="1:19" ht="30" x14ac:dyDescent="0.25">
      <c r="A11" s="5">
        <v>3</v>
      </c>
      <c r="B11" s="5" t="s">
        <v>1</v>
      </c>
      <c r="C11" s="4" t="s">
        <v>36</v>
      </c>
      <c r="D11" s="4" t="s">
        <v>37</v>
      </c>
      <c r="E11" s="5">
        <v>858</v>
      </c>
      <c r="F11" s="8">
        <v>42283</v>
      </c>
      <c r="G11" s="5">
        <v>53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/>
      <c r="P11" s="5"/>
      <c r="Q11" s="5"/>
      <c r="R11" s="5"/>
    </row>
    <row r="12" spans="1:19" ht="30" x14ac:dyDescent="0.25">
      <c r="A12" s="5">
        <v>3</v>
      </c>
      <c r="B12" s="5" t="s">
        <v>2</v>
      </c>
      <c r="C12" s="4" t="s">
        <v>37</v>
      </c>
      <c r="D12" s="4" t="s">
        <v>38</v>
      </c>
      <c r="E12" s="5">
        <v>858</v>
      </c>
      <c r="F12" s="8">
        <v>42283</v>
      </c>
      <c r="G12" s="5">
        <v>60</v>
      </c>
      <c r="H12" s="5">
        <v>0</v>
      </c>
      <c r="I12" s="5">
        <v>3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/>
      <c r="P12">
        <f>SUM(G11:G12)</f>
        <v>113</v>
      </c>
      <c r="Q12">
        <f>SUM(H11:H12)</f>
        <v>0</v>
      </c>
      <c r="R12">
        <f>SUM(I11:I12)</f>
        <v>3</v>
      </c>
      <c r="S12">
        <f>SUM(J11:J12)</f>
        <v>0</v>
      </c>
    </row>
    <row r="13" spans="1:19" ht="30" x14ac:dyDescent="0.25">
      <c r="A13" s="5">
        <v>3</v>
      </c>
      <c r="B13" s="5" t="s">
        <v>3</v>
      </c>
      <c r="C13" s="4" t="s">
        <v>38</v>
      </c>
      <c r="D13" s="4" t="s">
        <v>39</v>
      </c>
      <c r="E13" s="5">
        <v>858</v>
      </c>
      <c r="F13" s="8">
        <v>42283</v>
      </c>
      <c r="G13" s="5">
        <v>45</v>
      </c>
      <c r="H13" s="5">
        <v>1</v>
      </c>
      <c r="I13" s="5">
        <v>1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/>
      <c r="P13" s="5"/>
      <c r="Q13" s="5"/>
      <c r="R13" s="5"/>
    </row>
    <row r="14" spans="1:19" ht="30" x14ac:dyDescent="0.25">
      <c r="A14" s="5">
        <v>3</v>
      </c>
      <c r="B14" s="5" t="s">
        <v>4</v>
      </c>
      <c r="C14" s="4" t="s">
        <v>39</v>
      </c>
      <c r="D14" s="4" t="s">
        <v>40</v>
      </c>
      <c r="E14" s="5">
        <v>858</v>
      </c>
      <c r="F14" s="8">
        <v>42283</v>
      </c>
      <c r="G14" s="5">
        <v>37</v>
      </c>
      <c r="H14" s="5">
        <v>1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/>
      <c r="P14">
        <f>SUM(G13:G14)</f>
        <v>82</v>
      </c>
      <c r="Q14">
        <f>SUM(H13:H14)</f>
        <v>2</v>
      </c>
      <c r="R14">
        <f>SUM(I13:I14)</f>
        <v>1</v>
      </c>
      <c r="S14">
        <f>SUM(J13:J14)</f>
        <v>0</v>
      </c>
    </row>
    <row r="15" spans="1:19" ht="30" x14ac:dyDescent="0.25">
      <c r="A15" s="5">
        <v>4</v>
      </c>
      <c r="B15" s="5" t="s">
        <v>1</v>
      </c>
      <c r="C15" s="4" t="s">
        <v>40</v>
      </c>
      <c r="D15" s="4" t="s">
        <v>41</v>
      </c>
      <c r="E15" s="9">
        <v>832</v>
      </c>
      <c r="F15" s="8">
        <v>42283</v>
      </c>
      <c r="G15" s="5">
        <v>49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/>
      <c r="P15" s="5"/>
      <c r="Q15" s="5"/>
      <c r="R15" s="5"/>
    </row>
    <row r="16" spans="1:19" ht="30" x14ac:dyDescent="0.25">
      <c r="A16" s="5">
        <v>4</v>
      </c>
      <c r="B16" s="5" t="s">
        <v>2</v>
      </c>
      <c r="C16" s="4" t="s">
        <v>41</v>
      </c>
      <c r="D16" s="4" t="s">
        <v>42</v>
      </c>
      <c r="E16" s="9">
        <v>832</v>
      </c>
      <c r="F16" s="8">
        <v>42283</v>
      </c>
      <c r="G16" s="5">
        <v>134</v>
      </c>
      <c r="H16" s="5">
        <v>0</v>
      </c>
      <c r="I16" s="5">
        <v>3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/>
      <c r="P16">
        <f>SUM(G15:G16)</f>
        <v>183</v>
      </c>
      <c r="Q16">
        <f>SUM(H15:H16)</f>
        <v>0</v>
      </c>
      <c r="R16">
        <f>SUM(I15:I16)</f>
        <v>3</v>
      </c>
      <c r="S16">
        <f>SUM(J15:J16)</f>
        <v>0</v>
      </c>
    </row>
    <row r="17" spans="1:19" ht="30" x14ac:dyDescent="0.25">
      <c r="A17" s="5">
        <v>4</v>
      </c>
      <c r="B17" s="5" t="s">
        <v>3</v>
      </c>
      <c r="C17" s="4" t="s">
        <v>42</v>
      </c>
      <c r="D17" s="4" t="s">
        <v>43</v>
      </c>
      <c r="E17" s="9">
        <v>832</v>
      </c>
      <c r="F17" s="8">
        <v>42283</v>
      </c>
      <c r="G17" s="5">
        <v>15</v>
      </c>
      <c r="H17" s="5">
        <v>1</v>
      </c>
      <c r="I17" s="5">
        <v>1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/>
      <c r="P17" s="5"/>
      <c r="Q17" s="5"/>
      <c r="R17" s="5"/>
    </row>
    <row r="18" spans="1:19" ht="30" x14ac:dyDescent="0.25">
      <c r="A18" s="5">
        <v>4</v>
      </c>
      <c r="B18" s="5" t="s">
        <v>4</v>
      </c>
      <c r="C18" s="4" t="s">
        <v>43</v>
      </c>
      <c r="D18" s="4" t="s">
        <v>44</v>
      </c>
      <c r="E18" s="9">
        <v>832</v>
      </c>
      <c r="F18" s="8">
        <v>42283</v>
      </c>
      <c r="G18" s="5">
        <v>80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/>
      <c r="P18">
        <f>SUM(G17:G18)</f>
        <v>95</v>
      </c>
      <c r="Q18">
        <f>SUM(H17:H18)</f>
        <v>1</v>
      </c>
      <c r="R18">
        <f>SUM(I17:I18)</f>
        <v>1</v>
      </c>
      <c r="S18">
        <f>SUM(J17:J18)</f>
        <v>0</v>
      </c>
    </row>
    <row r="19" spans="1:19" ht="45" x14ac:dyDescent="0.25">
      <c r="A19" s="5">
        <v>5</v>
      </c>
      <c r="B19" s="5" t="s">
        <v>1</v>
      </c>
      <c r="C19" s="4" t="s">
        <v>44</v>
      </c>
      <c r="D19" s="4" t="s">
        <v>45</v>
      </c>
      <c r="E19" s="6"/>
      <c r="F19" s="8">
        <v>42283</v>
      </c>
      <c r="G19" s="5">
        <v>135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/>
      <c r="P19" s="5"/>
      <c r="Q19" s="5"/>
      <c r="R19" s="5"/>
    </row>
    <row r="20" spans="1:19" ht="45" x14ac:dyDescent="0.25">
      <c r="A20" s="5">
        <v>5</v>
      </c>
      <c r="B20" s="5" t="s">
        <v>2</v>
      </c>
      <c r="C20" s="4" t="s">
        <v>45</v>
      </c>
      <c r="D20" s="4" t="s">
        <v>46</v>
      </c>
      <c r="E20" s="6"/>
      <c r="F20" s="8">
        <v>42283</v>
      </c>
      <c r="G20" s="5">
        <v>153</v>
      </c>
      <c r="H20" s="5">
        <v>1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/>
      <c r="P20">
        <f>SUM(G19:G20)</f>
        <v>288</v>
      </c>
      <c r="Q20">
        <f>SUM(H19:H20)</f>
        <v>1</v>
      </c>
      <c r="R20">
        <f>SUM(I19:I20)</f>
        <v>0</v>
      </c>
      <c r="S20">
        <f>SUM(J19:J20)</f>
        <v>0</v>
      </c>
    </row>
    <row r="21" spans="1:19" ht="30" x14ac:dyDescent="0.25">
      <c r="A21" s="5">
        <v>5</v>
      </c>
      <c r="B21" s="5" t="s">
        <v>3</v>
      </c>
      <c r="C21" s="4" t="s">
        <v>47</v>
      </c>
      <c r="D21" s="4" t="s">
        <v>48</v>
      </c>
      <c r="E21" s="6"/>
      <c r="F21" s="8">
        <v>42283</v>
      </c>
      <c r="G21" s="5">
        <v>37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/>
      <c r="P21" s="5"/>
      <c r="Q21" s="5"/>
      <c r="R21" s="5"/>
    </row>
    <row r="22" spans="1:19" ht="30" x14ac:dyDescent="0.25">
      <c r="A22" s="5">
        <v>5</v>
      </c>
      <c r="B22" s="5" t="s">
        <v>4</v>
      </c>
      <c r="C22" s="4" t="s">
        <v>48</v>
      </c>
      <c r="D22" s="4" t="s">
        <v>49</v>
      </c>
      <c r="E22" s="6"/>
      <c r="F22" s="8">
        <v>42283</v>
      </c>
      <c r="G22" s="5">
        <v>96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/>
      <c r="P22">
        <f>SUM(G21:G22)</f>
        <v>133</v>
      </c>
      <c r="Q22">
        <f>SUM(H21:H22)</f>
        <v>0</v>
      </c>
      <c r="R22">
        <f>SUM(I21:I22)</f>
        <v>0</v>
      </c>
      <c r="S22">
        <f>SUM(J21:J22)</f>
        <v>0</v>
      </c>
    </row>
    <row r="23" spans="1:19" ht="30" x14ac:dyDescent="0.25">
      <c r="A23" s="5">
        <v>6</v>
      </c>
      <c r="B23" s="5" t="s">
        <v>1</v>
      </c>
      <c r="C23" s="4" t="s">
        <v>49</v>
      </c>
      <c r="D23" s="4" t="s">
        <v>50</v>
      </c>
      <c r="E23" s="5">
        <v>920</v>
      </c>
      <c r="F23" s="8">
        <v>42283</v>
      </c>
      <c r="G23" s="5">
        <v>63</v>
      </c>
      <c r="H23" s="5">
        <v>1</v>
      </c>
      <c r="I23" s="5">
        <v>2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/>
      <c r="P23" s="5"/>
      <c r="Q23" s="5"/>
      <c r="R23" s="5"/>
    </row>
    <row r="24" spans="1:19" ht="30" x14ac:dyDescent="0.25">
      <c r="A24" s="5">
        <v>6</v>
      </c>
      <c r="B24" s="5" t="s">
        <v>2</v>
      </c>
      <c r="C24" s="4" t="s">
        <v>50</v>
      </c>
      <c r="D24" s="4" t="s">
        <v>51</v>
      </c>
      <c r="E24" s="5">
        <v>920</v>
      </c>
      <c r="F24" s="8">
        <v>42283</v>
      </c>
      <c r="G24" s="5">
        <v>70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/>
      <c r="P24">
        <f>SUM(G23:G24)</f>
        <v>133</v>
      </c>
      <c r="Q24">
        <f>SUM(H23:H24)</f>
        <v>1</v>
      </c>
      <c r="R24">
        <f>SUM(I23:I24)</f>
        <v>2</v>
      </c>
      <c r="S24">
        <f>SUM(J23:J24)</f>
        <v>0</v>
      </c>
    </row>
    <row r="25" spans="1:19" ht="30" x14ac:dyDescent="0.25">
      <c r="A25" s="5">
        <v>6</v>
      </c>
      <c r="B25" s="5" t="s">
        <v>3</v>
      </c>
      <c r="C25" s="4" t="s">
        <v>51</v>
      </c>
      <c r="D25" s="4" t="s">
        <v>52</v>
      </c>
      <c r="E25" s="5">
        <v>920</v>
      </c>
      <c r="F25" s="8">
        <v>42283</v>
      </c>
      <c r="G25" s="5">
        <v>34</v>
      </c>
      <c r="H25" s="5">
        <v>1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1</v>
      </c>
      <c r="O25" s="5"/>
      <c r="P25" s="5"/>
      <c r="Q25" s="5"/>
      <c r="R25" s="5"/>
    </row>
    <row r="26" spans="1:19" ht="30" x14ac:dyDescent="0.25">
      <c r="A26" s="5">
        <v>6</v>
      </c>
      <c r="B26" s="5" t="s">
        <v>4</v>
      </c>
      <c r="C26" s="4" t="s">
        <v>52</v>
      </c>
      <c r="D26" s="4" t="s">
        <v>53</v>
      </c>
      <c r="E26" s="5">
        <v>920</v>
      </c>
      <c r="F26" s="8">
        <v>42283</v>
      </c>
      <c r="G26" s="5">
        <v>24</v>
      </c>
      <c r="H26" s="5">
        <v>1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/>
      <c r="P26">
        <f>SUM(G25:G26)</f>
        <v>58</v>
      </c>
      <c r="Q26">
        <f>SUM(H25:H26)</f>
        <v>2</v>
      </c>
      <c r="R26">
        <f>SUM(I25:I26)</f>
        <v>0</v>
      </c>
      <c r="S26">
        <f>SUM(J25:J26)</f>
        <v>0</v>
      </c>
    </row>
    <row r="27" spans="1:19" ht="30" x14ac:dyDescent="0.25">
      <c r="A27" s="5">
        <v>7</v>
      </c>
      <c r="B27" s="5" t="s">
        <v>1</v>
      </c>
      <c r="C27" s="4" t="s">
        <v>53</v>
      </c>
      <c r="D27" s="4" t="s">
        <v>54</v>
      </c>
      <c r="E27" s="6"/>
      <c r="F27" s="8">
        <v>42284</v>
      </c>
      <c r="G27" s="5">
        <v>77</v>
      </c>
      <c r="H27" s="5">
        <v>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/>
      <c r="P27" s="5"/>
      <c r="Q27" s="5"/>
      <c r="R27" s="5"/>
    </row>
    <row r="28" spans="1:19" ht="30" x14ac:dyDescent="0.25">
      <c r="A28" s="5">
        <v>7</v>
      </c>
      <c r="B28" s="5" t="s">
        <v>2</v>
      </c>
      <c r="C28" s="4" t="s">
        <v>54</v>
      </c>
      <c r="D28" s="4" t="s">
        <v>55</v>
      </c>
      <c r="E28" s="6"/>
      <c r="F28" s="8">
        <v>42284</v>
      </c>
      <c r="G28" s="5">
        <v>132</v>
      </c>
      <c r="H28" s="5">
        <v>0</v>
      </c>
      <c r="I28" s="5">
        <v>0</v>
      </c>
      <c r="J28" s="5">
        <v>1</v>
      </c>
      <c r="K28" s="5">
        <v>0</v>
      </c>
      <c r="L28" s="5">
        <v>0</v>
      </c>
      <c r="M28" s="5">
        <v>0</v>
      </c>
      <c r="N28" s="5">
        <v>0</v>
      </c>
      <c r="O28" s="5"/>
      <c r="P28">
        <f>SUM(G27:G28)</f>
        <v>209</v>
      </c>
      <c r="Q28">
        <f>SUM(H27:H28)</f>
        <v>1</v>
      </c>
      <c r="R28">
        <f>SUM(I27:I28)</f>
        <v>0</v>
      </c>
      <c r="S28">
        <f>SUM(J27:J28)</f>
        <v>1</v>
      </c>
    </row>
    <row r="29" spans="1:19" ht="30" x14ac:dyDescent="0.25">
      <c r="A29" s="5">
        <v>7</v>
      </c>
      <c r="B29" s="5" t="s">
        <v>3</v>
      </c>
      <c r="C29" s="4" t="s">
        <v>55</v>
      </c>
      <c r="D29" s="4" t="s">
        <v>56</v>
      </c>
      <c r="E29" s="6"/>
      <c r="F29" s="8">
        <v>42284</v>
      </c>
      <c r="G29" s="5">
        <v>74</v>
      </c>
      <c r="H29" s="5">
        <v>1</v>
      </c>
      <c r="I29" s="5">
        <v>5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/>
      <c r="P29" s="5"/>
      <c r="Q29" s="5"/>
      <c r="R29" s="5"/>
    </row>
    <row r="30" spans="1:19" ht="30" x14ac:dyDescent="0.25">
      <c r="A30" s="5">
        <v>7</v>
      </c>
      <c r="B30" s="5" t="s">
        <v>4</v>
      </c>
      <c r="C30" s="4" t="s">
        <v>56</v>
      </c>
      <c r="D30" s="4" t="s">
        <v>57</v>
      </c>
      <c r="E30" s="6"/>
      <c r="F30" s="8">
        <v>42284</v>
      </c>
      <c r="G30" s="5">
        <v>161</v>
      </c>
      <c r="H30" s="5">
        <v>3</v>
      </c>
      <c r="I30" s="5">
        <v>1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/>
      <c r="P30">
        <f>SUM(G29:G30)</f>
        <v>235</v>
      </c>
      <c r="Q30">
        <f>SUM(H29:H30)</f>
        <v>4</v>
      </c>
      <c r="R30">
        <f>SUM(I29:I30)</f>
        <v>6</v>
      </c>
      <c r="S30">
        <f>SUM(J29:J30)</f>
        <v>0</v>
      </c>
    </row>
    <row r="31" spans="1:19" ht="30" x14ac:dyDescent="0.25">
      <c r="A31" s="5">
        <v>8</v>
      </c>
      <c r="B31" s="5" t="s">
        <v>1</v>
      </c>
      <c r="C31" s="4" t="s">
        <v>57</v>
      </c>
      <c r="D31" s="4" t="s">
        <v>58</v>
      </c>
      <c r="E31" s="6"/>
      <c r="F31" s="8">
        <v>42284</v>
      </c>
      <c r="G31" s="5">
        <v>110</v>
      </c>
      <c r="H31" s="5">
        <v>1</v>
      </c>
      <c r="I31" s="5">
        <v>0</v>
      </c>
      <c r="J31" s="5">
        <v>1</v>
      </c>
      <c r="K31" s="5">
        <v>0</v>
      </c>
      <c r="L31" s="5">
        <v>0</v>
      </c>
      <c r="M31" s="5">
        <v>0</v>
      </c>
      <c r="N31" s="5">
        <v>0</v>
      </c>
      <c r="O31" s="5"/>
      <c r="P31" s="5"/>
      <c r="Q31" s="5"/>
      <c r="R31" s="5"/>
    </row>
    <row r="32" spans="1:19" ht="30" x14ac:dyDescent="0.25">
      <c r="A32" s="5">
        <v>8</v>
      </c>
      <c r="B32" s="5" t="s">
        <v>2</v>
      </c>
      <c r="C32" s="4" t="s">
        <v>58</v>
      </c>
      <c r="D32" s="4" t="s">
        <v>59</v>
      </c>
      <c r="E32" s="6"/>
      <c r="F32" s="8">
        <v>42284</v>
      </c>
      <c r="G32" s="5">
        <v>128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/>
      <c r="P32">
        <f>SUM(G31:G32)</f>
        <v>238</v>
      </c>
      <c r="Q32">
        <f>SUM(H31:H32)</f>
        <v>1</v>
      </c>
      <c r="R32">
        <f>SUM(I31:I32)</f>
        <v>0</v>
      </c>
      <c r="S32">
        <f>SUM(J31:J32)</f>
        <v>1</v>
      </c>
    </row>
    <row r="33" spans="1:19" ht="30" x14ac:dyDescent="0.25">
      <c r="A33" s="5">
        <v>8</v>
      </c>
      <c r="B33" s="5" t="s">
        <v>3</v>
      </c>
      <c r="C33" s="4" t="s">
        <v>59</v>
      </c>
      <c r="D33" s="4" t="s">
        <v>60</v>
      </c>
      <c r="E33" s="6"/>
      <c r="F33" s="8">
        <v>42284</v>
      </c>
      <c r="G33" s="5">
        <v>108</v>
      </c>
      <c r="H33" s="5">
        <v>0</v>
      </c>
      <c r="I33" s="5">
        <v>0</v>
      </c>
      <c r="J33" s="5">
        <v>4</v>
      </c>
      <c r="K33" s="5">
        <v>0</v>
      </c>
      <c r="L33" s="5">
        <v>0</v>
      </c>
      <c r="M33" s="5">
        <v>0</v>
      </c>
      <c r="N33" s="5">
        <v>0</v>
      </c>
      <c r="O33" s="5"/>
      <c r="P33" s="5"/>
      <c r="Q33" s="5"/>
      <c r="R33" s="5"/>
    </row>
    <row r="34" spans="1:19" ht="30" x14ac:dyDescent="0.25">
      <c r="A34" s="5">
        <v>8</v>
      </c>
      <c r="B34" s="5" t="s">
        <v>4</v>
      </c>
      <c r="C34" s="4" t="s">
        <v>60</v>
      </c>
      <c r="D34" s="4" t="s">
        <v>61</v>
      </c>
      <c r="E34" s="6"/>
      <c r="F34" s="8">
        <v>42284</v>
      </c>
      <c r="G34" s="5">
        <v>14</v>
      </c>
      <c r="H34" s="5">
        <v>0</v>
      </c>
      <c r="I34" s="5">
        <v>2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/>
      <c r="P34">
        <f>SUM(G33:G34)</f>
        <v>122</v>
      </c>
      <c r="Q34">
        <f>SUM(H33:H34)</f>
        <v>0</v>
      </c>
      <c r="R34">
        <f>SUM(I33:I34)</f>
        <v>2</v>
      </c>
      <c r="S34">
        <f>SUM(J33:J34)</f>
        <v>4</v>
      </c>
    </row>
    <row r="35" spans="1:19" ht="30" x14ac:dyDescent="0.25">
      <c r="A35" s="5">
        <v>9</v>
      </c>
      <c r="B35" s="5" t="s">
        <v>1</v>
      </c>
      <c r="C35" s="4" t="s">
        <v>61</v>
      </c>
      <c r="D35" s="4" t="s">
        <v>62</v>
      </c>
      <c r="E35" s="9">
        <v>932</v>
      </c>
      <c r="F35" s="8">
        <v>42284</v>
      </c>
      <c r="G35" s="5">
        <v>37</v>
      </c>
      <c r="H35" s="5">
        <v>0</v>
      </c>
      <c r="I35" s="5">
        <v>0</v>
      </c>
      <c r="J35" s="5">
        <v>2</v>
      </c>
      <c r="K35" s="5">
        <v>0</v>
      </c>
      <c r="L35" s="5">
        <v>0</v>
      </c>
      <c r="M35" s="5">
        <v>0</v>
      </c>
      <c r="N35" s="5">
        <v>0</v>
      </c>
      <c r="O35" s="5"/>
      <c r="P35" s="5"/>
      <c r="Q35" s="5"/>
      <c r="R35" s="5"/>
    </row>
    <row r="36" spans="1:19" ht="30" x14ac:dyDescent="0.25">
      <c r="A36" s="5">
        <v>9</v>
      </c>
      <c r="B36" s="5" t="s">
        <v>2</v>
      </c>
      <c r="C36" s="4" t="s">
        <v>62</v>
      </c>
      <c r="D36" s="4" t="s">
        <v>63</v>
      </c>
      <c r="E36" s="9">
        <v>932</v>
      </c>
      <c r="F36" s="8">
        <v>42284</v>
      </c>
      <c r="G36" s="5">
        <v>16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/>
      <c r="P36">
        <f>SUM(G35:G36)</f>
        <v>53</v>
      </c>
      <c r="Q36">
        <f>SUM(H35:H36)</f>
        <v>0</v>
      </c>
      <c r="R36">
        <f>SUM(I35:I36)</f>
        <v>0</v>
      </c>
      <c r="S36">
        <f>SUM(J35:J36)</f>
        <v>2</v>
      </c>
    </row>
    <row r="37" spans="1:19" ht="30" x14ac:dyDescent="0.25">
      <c r="A37" s="5">
        <v>9</v>
      </c>
      <c r="B37" s="5" t="s">
        <v>3</v>
      </c>
      <c r="C37" s="4" t="s">
        <v>63</v>
      </c>
      <c r="D37" s="4" t="s">
        <v>64</v>
      </c>
      <c r="E37" s="9">
        <v>932</v>
      </c>
      <c r="F37" s="8">
        <v>42284</v>
      </c>
      <c r="G37" s="5">
        <v>14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/>
      <c r="P37" s="5"/>
      <c r="Q37" s="5"/>
      <c r="R37" s="5"/>
    </row>
    <row r="38" spans="1:19" ht="30" x14ac:dyDescent="0.25">
      <c r="A38" s="5">
        <v>9</v>
      </c>
      <c r="B38" s="5" t="s">
        <v>4</v>
      </c>
      <c r="C38" s="4" t="s">
        <v>64</v>
      </c>
      <c r="D38" s="4" t="s">
        <v>65</v>
      </c>
      <c r="E38" s="9">
        <v>932</v>
      </c>
      <c r="F38" s="8">
        <v>42284</v>
      </c>
      <c r="G38" s="5">
        <v>9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/>
      <c r="P38">
        <f>SUM(G37:G38)</f>
        <v>23</v>
      </c>
      <c r="Q38">
        <f>SUM(H37:H38)</f>
        <v>0</v>
      </c>
      <c r="R38">
        <f>SUM(I37:I38)</f>
        <v>0</v>
      </c>
      <c r="S38">
        <f>SUM(J37:J38)</f>
        <v>0</v>
      </c>
    </row>
    <row r="39" spans="1:19" ht="30" x14ac:dyDescent="0.25">
      <c r="A39" s="5">
        <v>10</v>
      </c>
      <c r="B39" s="5" t="s">
        <v>1</v>
      </c>
      <c r="C39" s="4" t="s">
        <v>65</v>
      </c>
      <c r="D39" s="4" t="s">
        <v>66</v>
      </c>
      <c r="E39" s="5">
        <v>1355</v>
      </c>
      <c r="F39" s="8">
        <v>42284</v>
      </c>
      <c r="G39" s="5">
        <v>15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/>
      <c r="P39" s="5"/>
      <c r="Q39" s="5"/>
      <c r="R39" s="5"/>
    </row>
    <row r="40" spans="1:19" ht="30" x14ac:dyDescent="0.25">
      <c r="A40" s="5">
        <v>10</v>
      </c>
      <c r="B40" s="5" t="s">
        <v>2</v>
      </c>
      <c r="C40" s="4" t="s">
        <v>66</v>
      </c>
      <c r="D40" s="4" t="s">
        <v>67</v>
      </c>
      <c r="E40" s="5">
        <v>1355</v>
      </c>
      <c r="F40" s="8">
        <v>42284</v>
      </c>
      <c r="G40" s="5">
        <v>10</v>
      </c>
      <c r="H40" s="5">
        <v>0</v>
      </c>
      <c r="I40" s="5">
        <v>0</v>
      </c>
      <c r="J40" s="5">
        <v>1</v>
      </c>
      <c r="K40" s="5">
        <v>0</v>
      </c>
      <c r="L40" s="5">
        <v>1</v>
      </c>
      <c r="M40" s="5">
        <v>0</v>
      </c>
      <c r="N40" s="5">
        <v>0</v>
      </c>
      <c r="O40" s="5"/>
      <c r="P40">
        <f>SUM(G39:G40)</f>
        <v>25</v>
      </c>
      <c r="Q40">
        <f>SUM(H39:H40)</f>
        <v>0</v>
      </c>
      <c r="R40">
        <f>SUM(I39:I40)</f>
        <v>0</v>
      </c>
      <c r="S40">
        <f>SUM(J39:J40)</f>
        <v>1</v>
      </c>
    </row>
    <row r="41" spans="1:19" ht="30" x14ac:dyDescent="0.25">
      <c r="A41" s="5">
        <v>10</v>
      </c>
      <c r="B41" s="5" t="s">
        <v>3</v>
      </c>
      <c r="C41" s="4" t="s">
        <v>67</v>
      </c>
      <c r="D41" s="4" t="s">
        <v>68</v>
      </c>
      <c r="E41" s="5">
        <v>1355</v>
      </c>
      <c r="F41" s="8">
        <v>42284</v>
      </c>
      <c r="G41" s="5">
        <v>22</v>
      </c>
      <c r="H41" s="5">
        <v>0</v>
      </c>
      <c r="I41" s="5">
        <v>0</v>
      </c>
      <c r="J41" s="5">
        <v>2</v>
      </c>
      <c r="K41" s="5">
        <v>0</v>
      </c>
      <c r="L41" s="5">
        <v>0</v>
      </c>
      <c r="M41" s="5">
        <v>0</v>
      </c>
      <c r="N41" s="5">
        <v>0</v>
      </c>
      <c r="O41" s="5"/>
      <c r="P41" s="5"/>
      <c r="Q41" s="5"/>
      <c r="R41" s="5"/>
    </row>
    <row r="42" spans="1:19" ht="30" x14ac:dyDescent="0.25">
      <c r="A42" s="5">
        <v>10</v>
      </c>
      <c r="B42" s="5" t="s">
        <v>4</v>
      </c>
      <c r="C42" s="4" t="s">
        <v>68</v>
      </c>
      <c r="D42" s="4" t="s">
        <v>69</v>
      </c>
      <c r="E42" s="5">
        <v>1355</v>
      </c>
      <c r="F42" s="8">
        <v>42284</v>
      </c>
      <c r="G42" s="5">
        <v>4</v>
      </c>
      <c r="H42" s="5">
        <v>0</v>
      </c>
      <c r="I42" s="5">
        <v>0</v>
      </c>
      <c r="J42" s="5">
        <v>2</v>
      </c>
      <c r="K42" s="5">
        <v>0</v>
      </c>
      <c r="L42" s="5">
        <v>0</v>
      </c>
      <c r="M42" s="5">
        <v>0</v>
      </c>
      <c r="N42" s="5">
        <v>0</v>
      </c>
      <c r="O42" s="5"/>
      <c r="P42">
        <f>SUM(G41:G42)</f>
        <v>26</v>
      </c>
      <c r="Q42">
        <f>SUM(H41:H42)</f>
        <v>0</v>
      </c>
      <c r="R42">
        <f>SUM(I41:I42)</f>
        <v>0</v>
      </c>
      <c r="S42">
        <f>SUM(J41:J42)</f>
        <v>4</v>
      </c>
    </row>
    <row r="43" spans="1:19" ht="30" x14ac:dyDescent="0.25">
      <c r="A43" s="5">
        <v>11</v>
      </c>
      <c r="B43" s="5" t="s">
        <v>1</v>
      </c>
      <c r="C43" s="4" t="s">
        <v>69</v>
      </c>
      <c r="D43" s="4" t="s">
        <v>70</v>
      </c>
      <c r="E43" s="5">
        <v>1080</v>
      </c>
      <c r="F43" s="8">
        <v>42284</v>
      </c>
      <c r="G43" s="5">
        <v>9</v>
      </c>
      <c r="H43" s="5">
        <v>0</v>
      </c>
      <c r="I43" s="5">
        <v>0</v>
      </c>
      <c r="J43" s="5">
        <v>1</v>
      </c>
      <c r="K43" s="5">
        <v>0</v>
      </c>
      <c r="L43" s="5">
        <v>0</v>
      </c>
      <c r="M43" s="5">
        <v>0</v>
      </c>
      <c r="N43" s="5">
        <v>0</v>
      </c>
      <c r="O43" s="5"/>
      <c r="P43" s="5"/>
      <c r="Q43" s="5"/>
      <c r="R43" s="5"/>
    </row>
    <row r="44" spans="1:19" ht="30" x14ac:dyDescent="0.25">
      <c r="A44" s="5">
        <v>11</v>
      </c>
      <c r="B44" s="5" t="s">
        <v>2</v>
      </c>
      <c r="C44" s="4" t="s">
        <v>70</v>
      </c>
      <c r="D44" s="4" t="s">
        <v>71</v>
      </c>
      <c r="E44" s="5">
        <v>1080</v>
      </c>
      <c r="F44" s="8">
        <v>42284</v>
      </c>
      <c r="G44" s="5">
        <v>21</v>
      </c>
      <c r="H44" s="5">
        <v>0</v>
      </c>
      <c r="I44" s="5">
        <v>0</v>
      </c>
      <c r="J44" s="5">
        <v>1</v>
      </c>
      <c r="K44" s="5">
        <v>0</v>
      </c>
      <c r="L44" s="5">
        <v>0</v>
      </c>
      <c r="M44" s="5">
        <v>0</v>
      </c>
      <c r="N44" s="5">
        <v>0</v>
      </c>
      <c r="O44" s="5"/>
      <c r="P44">
        <f>SUM(G43:G44)</f>
        <v>30</v>
      </c>
      <c r="Q44">
        <f>SUM(H43:H44)</f>
        <v>0</v>
      </c>
      <c r="R44">
        <f>SUM(I43:I44)</f>
        <v>0</v>
      </c>
      <c r="S44">
        <f>SUM(J43:J44)</f>
        <v>2</v>
      </c>
    </row>
    <row r="45" spans="1:19" ht="30" x14ac:dyDescent="0.25">
      <c r="A45" s="5">
        <v>11</v>
      </c>
      <c r="B45" s="5" t="s">
        <v>3</v>
      </c>
      <c r="C45" s="4" t="s">
        <v>71</v>
      </c>
      <c r="D45" s="4" t="s">
        <v>27</v>
      </c>
      <c r="E45" s="5">
        <v>1080</v>
      </c>
      <c r="F45" s="8">
        <v>42284</v>
      </c>
      <c r="G45" s="5">
        <v>6</v>
      </c>
      <c r="H45" s="5">
        <v>0</v>
      </c>
      <c r="I45" s="5">
        <v>0</v>
      </c>
      <c r="J45" s="5">
        <v>22</v>
      </c>
      <c r="K45" s="5">
        <v>0</v>
      </c>
      <c r="L45" s="5">
        <v>0</v>
      </c>
      <c r="M45" s="5">
        <v>0</v>
      </c>
      <c r="N45" s="5">
        <v>0</v>
      </c>
      <c r="O45" s="5"/>
      <c r="P45" s="5"/>
      <c r="Q45" s="5"/>
      <c r="R45" s="5"/>
    </row>
    <row r="46" spans="1:19" ht="30" x14ac:dyDescent="0.25">
      <c r="A46" s="5">
        <v>11</v>
      </c>
      <c r="B46" s="5" t="s">
        <v>4</v>
      </c>
      <c r="C46" s="4" t="s">
        <v>27</v>
      </c>
      <c r="D46" s="4" t="s">
        <v>18</v>
      </c>
      <c r="E46" s="5">
        <v>1080</v>
      </c>
      <c r="F46" s="8">
        <v>42284</v>
      </c>
      <c r="G46" s="5">
        <v>28</v>
      </c>
      <c r="H46" s="5">
        <v>0</v>
      </c>
      <c r="I46" s="5">
        <v>0</v>
      </c>
      <c r="J46" s="5">
        <v>3</v>
      </c>
      <c r="K46" s="5">
        <v>0</v>
      </c>
      <c r="L46" s="5">
        <v>0</v>
      </c>
      <c r="M46" s="5">
        <v>0</v>
      </c>
      <c r="N46" s="5">
        <v>0</v>
      </c>
      <c r="O46" s="5"/>
      <c r="P46">
        <f>SUM(G45:G46)</f>
        <v>34</v>
      </c>
      <c r="Q46">
        <f>SUM(H45:H46)</f>
        <v>0</v>
      </c>
      <c r="R46">
        <f>SUM(I45:I46)</f>
        <v>0</v>
      </c>
      <c r="S46">
        <f>SUM(J45:J46)</f>
        <v>25</v>
      </c>
    </row>
    <row r="47" spans="1:19" ht="30" x14ac:dyDescent="0.25">
      <c r="A47" s="5">
        <v>12</v>
      </c>
      <c r="B47" s="5" t="s">
        <v>1</v>
      </c>
      <c r="C47" s="4" t="s">
        <v>18</v>
      </c>
      <c r="D47" s="4" t="s">
        <v>19</v>
      </c>
      <c r="E47" s="6" t="s">
        <v>20</v>
      </c>
      <c r="F47" s="8">
        <v>42284</v>
      </c>
      <c r="G47" s="5">
        <v>7</v>
      </c>
      <c r="H47" s="5">
        <v>1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/>
      <c r="P47" s="5"/>
      <c r="Q47" s="5"/>
      <c r="R47" s="5"/>
    </row>
    <row r="48" spans="1:19" ht="30" x14ac:dyDescent="0.25">
      <c r="A48" s="5">
        <v>12</v>
      </c>
      <c r="B48" s="5" t="s">
        <v>2</v>
      </c>
      <c r="C48" s="4" t="s">
        <v>19</v>
      </c>
      <c r="D48" s="4" t="s">
        <v>21</v>
      </c>
      <c r="E48" s="6" t="s">
        <v>20</v>
      </c>
      <c r="F48" s="8">
        <v>42284</v>
      </c>
      <c r="G48" s="5">
        <v>5</v>
      </c>
      <c r="H48" s="5">
        <v>0</v>
      </c>
      <c r="I48" s="5">
        <v>0</v>
      </c>
      <c r="J48" s="5">
        <v>3</v>
      </c>
      <c r="K48" s="5">
        <v>0</v>
      </c>
      <c r="L48" s="5">
        <v>0</v>
      </c>
      <c r="M48" s="5">
        <v>0</v>
      </c>
      <c r="N48" s="5">
        <v>0</v>
      </c>
      <c r="O48" s="5"/>
      <c r="P48">
        <f>SUM(G47:G48)</f>
        <v>12</v>
      </c>
      <c r="Q48">
        <f>SUM(H47:H48)</f>
        <v>1</v>
      </c>
      <c r="R48">
        <f>SUM(I47:I48)</f>
        <v>0</v>
      </c>
      <c r="S48">
        <f>SUM(J47:J48)</f>
        <v>3</v>
      </c>
    </row>
    <row r="49" spans="1:19" ht="30" x14ac:dyDescent="0.25">
      <c r="A49" s="5">
        <v>12</v>
      </c>
      <c r="B49" s="5" t="s">
        <v>3</v>
      </c>
      <c r="C49" s="4" t="s">
        <v>21</v>
      </c>
      <c r="D49" s="4" t="s">
        <v>22</v>
      </c>
      <c r="E49" s="6" t="s">
        <v>20</v>
      </c>
      <c r="F49" s="8">
        <v>42284</v>
      </c>
      <c r="G49" s="5">
        <v>19</v>
      </c>
      <c r="H49" s="5">
        <v>0</v>
      </c>
      <c r="I49" s="5">
        <v>0</v>
      </c>
      <c r="J49" s="5">
        <v>5</v>
      </c>
      <c r="K49" s="5">
        <v>0</v>
      </c>
      <c r="L49" s="5">
        <v>0</v>
      </c>
      <c r="M49" s="5">
        <v>0</v>
      </c>
      <c r="N49" s="5">
        <v>0</v>
      </c>
      <c r="O49" s="5"/>
      <c r="P49" s="5"/>
      <c r="Q49" s="5"/>
      <c r="R49" s="5"/>
    </row>
    <row r="50" spans="1:19" ht="30" x14ac:dyDescent="0.25">
      <c r="A50" s="5">
        <v>12</v>
      </c>
      <c r="B50" s="5" t="s">
        <v>4</v>
      </c>
      <c r="C50" s="4" t="s">
        <v>22</v>
      </c>
      <c r="D50" s="4" t="s">
        <v>23</v>
      </c>
      <c r="E50" s="6" t="s">
        <v>20</v>
      </c>
      <c r="F50" s="8">
        <v>42284</v>
      </c>
      <c r="G50" s="5">
        <v>10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/>
      <c r="P50">
        <f>SUM(G49:G50)</f>
        <v>29</v>
      </c>
      <c r="Q50">
        <f>SUM(H49:H50)</f>
        <v>0</v>
      </c>
      <c r="R50">
        <f>SUM(I49:I50)</f>
        <v>0</v>
      </c>
      <c r="S50">
        <f>SUM(J49:J50)</f>
        <v>5</v>
      </c>
    </row>
    <row r="51" spans="1:19" ht="30" x14ac:dyDescent="0.25">
      <c r="A51" s="5">
        <v>13</v>
      </c>
      <c r="B51" s="5" t="s">
        <v>1</v>
      </c>
      <c r="C51" s="4" t="s">
        <v>23</v>
      </c>
      <c r="D51" s="4" t="s">
        <v>24</v>
      </c>
      <c r="E51" s="5">
        <v>996</v>
      </c>
      <c r="F51" s="8">
        <v>42284</v>
      </c>
      <c r="G51" s="5">
        <v>115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/>
      <c r="P51" s="5"/>
      <c r="Q51" s="5"/>
      <c r="R51" s="5"/>
    </row>
    <row r="52" spans="1:19" ht="30" x14ac:dyDescent="0.25">
      <c r="A52" s="5">
        <v>13</v>
      </c>
      <c r="B52" s="5" t="s">
        <v>2</v>
      </c>
      <c r="C52" s="4" t="s">
        <v>24</v>
      </c>
      <c r="D52" s="4" t="s">
        <v>25</v>
      </c>
      <c r="E52" s="5">
        <v>996</v>
      </c>
      <c r="F52" s="8">
        <v>42284</v>
      </c>
      <c r="G52" s="5">
        <v>71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/>
      <c r="P52">
        <f>SUM(G51:G52)</f>
        <v>186</v>
      </c>
      <c r="Q52">
        <f>SUM(H51:H52)</f>
        <v>0</v>
      </c>
      <c r="R52">
        <f>SUM(I51:I52)</f>
        <v>0</v>
      </c>
      <c r="S52">
        <f>SUM(J51:J52)</f>
        <v>0</v>
      </c>
    </row>
    <row r="53" spans="1:19" ht="30" x14ac:dyDescent="0.25">
      <c r="A53" s="5">
        <v>13</v>
      </c>
      <c r="B53" s="5" t="s">
        <v>3</v>
      </c>
      <c r="C53" s="4" t="s">
        <v>25</v>
      </c>
      <c r="D53" s="4" t="s">
        <v>26</v>
      </c>
      <c r="E53" s="5">
        <v>996</v>
      </c>
      <c r="F53" s="8">
        <v>42284</v>
      </c>
      <c r="G53" s="5">
        <v>108</v>
      </c>
      <c r="H53" s="5">
        <v>0</v>
      </c>
      <c r="I53" s="5">
        <v>0</v>
      </c>
      <c r="J53" s="5">
        <v>5</v>
      </c>
      <c r="K53" s="5">
        <v>0</v>
      </c>
      <c r="L53" s="5">
        <v>0</v>
      </c>
      <c r="M53" s="5">
        <v>0</v>
      </c>
      <c r="N53" s="5">
        <v>0</v>
      </c>
      <c r="O53" s="5"/>
      <c r="P53" s="5"/>
      <c r="Q53" s="5"/>
      <c r="R53" s="5"/>
    </row>
    <row r="54" spans="1:19" ht="30" x14ac:dyDescent="0.25">
      <c r="A54" s="5">
        <v>13</v>
      </c>
      <c r="B54" s="5" t="s">
        <v>4</v>
      </c>
      <c r="C54" s="4" t="s">
        <v>26</v>
      </c>
      <c r="D54" s="4" t="s">
        <v>136</v>
      </c>
      <c r="E54" s="5">
        <v>996</v>
      </c>
      <c r="F54" s="8">
        <v>42284</v>
      </c>
      <c r="G54" s="5">
        <v>42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/>
      <c r="P54">
        <f>SUM(G53:G54)</f>
        <v>150</v>
      </c>
      <c r="Q54">
        <f>SUM(H53:H54)</f>
        <v>0</v>
      </c>
      <c r="R54">
        <f>SUM(I53:I54)</f>
        <v>0</v>
      </c>
      <c r="S54">
        <f>SUM(J53:J54)</f>
        <v>5</v>
      </c>
    </row>
    <row r="55" spans="1:19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</row>
    <row r="56" spans="1:19" x14ac:dyDescent="0.25">
      <c r="A56" s="5"/>
      <c r="B56" s="5"/>
      <c r="C56" s="5"/>
      <c r="D56" s="5"/>
      <c r="E56" s="5"/>
      <c r="F56" s="5" t="s">
        <v>132</v>
      </c>
      <c r="G56" s="5">
        <f>AVERAGE(G3:G54)</f>
        <v>53.82692307692308</v>
      </c>
      <c r="H56" s="5">
        <f>AVERAGE(H3:H54)</f>
        <v>0.42307692307692307</v>
      </c>
      <c r="I56" s="5"/>
      <c r="J56" s="5"/>
      <c r="K56" s="5"/>
      <c r="L56" s="5"/>
      <c r="M56" s="5"/>
      <c r="N56" s="5"/>
      <c r="O56" s="5"/>
      <c r="P56" s="11">
        <f>AVERAGE(P3:P54)</f>
        <v>107.65384615384616</v>
      </c>
      <c r="Q56" s="11">
        <f>SUM(Q3:Q54)</f>
        <v>22</v>
      </c>
      <c r="R56" s="5"/>
    </row>
    <row r="57" spans="1:19" x14ac:dyDescent="0.25">
      <c r="A57" s="5"/>
      <c r="B57" s="5"/>
      <c r="C57" s="5"/>
      <c r="D57" s="5"/>
      <c r="E57" s="5"/>
      <c r="F57" s="5" t="s">
        <v>133</v>
      </c>
      <c r="G57" s="5">
        <f>SUM(G3:G54)</f>
        <v>2799</v>
      </c>
      <c r="H57" s="5">
        <f>SUM(H3:H54)</f>
        <v>22</v>
      </c>
      <c r="I57" s="5">
        <f t="shared" ref="I57:N57" si="0">SUM(I3:I54)</f>
        <v>24</v>
      </c>
      <c r="J57" s="5">
        <f t="shared" si="0"/>
        <v>53</v>
      </c>
      <c r="K57" s="5">
        <f t="shared" si="0"/>
        <v>0</v>
      </c>
      <c r="L57" s="5">
        <f t="shared" si="0"/>
        <v>1</v>
      </c>
      <c r="M57" s="5">
        <f t="shared" si="0"/>
        <v>1</v>
      </c>
      <c r="N57" s="5">
        <f t="shared" si="0"/>
        <v>1</v>
      </c>
      <c r="O57" s="5"/>
      <c r="P57" s="5"/>
      <c r="Q57" s="5"/>
      <c r="R57" s="5"/>
    </row>
    <row r="58" spans="1:19" x14ac:dyDescent="0.25">
      <c r="A58" s="5"/>
      <c r="B58" s="5"/>
      <c r="C58" s="5"/>
      <c r="D58" s="5"/>
      <c r="E58" s="5"/>
      <c r="F58" s="5">
        <f>SUM(G57:N57)</f>
        <v>2901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</row>
    <row r="59" spans="1:19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</row>
    <row r="60" spans="1:19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</row>
    <row r="61" spans="1:19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</row>
    <row r="62" spans="1:19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</row>
    <row r="63" spans="1:19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</row>
    <row r="64" spans="1:19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</row>
    <row r="65" spans="1:18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</row>
    <row r="66" spans="1:18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</row>
    <row r="67" spans="1:18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</row>
    <row r="68" spans="1:18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79"/>
  <sheetViews>
    <sheetView topLeftCell="M4" workbookViewId="0">
      <selection activeCell="R8" sqref="R8"/>
    </sheetView>
  </sheetViews>
  <sheetFormatPr defaultRowHeight="15" x14ac:dyDescent="0.25"/>
  <cols>
    <col min="3" max="3" width="11.5703125" customWidth="1"/>
    <col min="4" max="4" width="11.140625" customWidth="1"/>
    <col min="5" max="5" width="21.42578125" bestFit="1" customWidth="1"/>
    <col min="6" max="6" width="18.140625" bestFit="1" customWidth="1"/>
    <col min="18" max="18" width="17.42578125" customWidth="1"/>
    <col min="19" max="19" width="11.140625" customWidth="1"/>
    <col min="20" max="20" width="11.85546875" customWidth="1"/>
    <col min="21" max="21" width="12.5703125" customWidth="1"/>
  </cols>
  <sheetData>
    <row r="1" spans="1:21" x14ac:dyDescent="0.25">
      <c r="A1" s="1" t="s">
        <v>0</v>
      </c>
      <c r="B1" s="1" t="s">
        <v>5</v>
      </c>
      <c r="C1" s="1" t="s">
        <v>6</v>
      </c>
      <c r="D1" s="1" t="s">
        <v>7</v>
      </c>
      <c r="E1" s="7" t="s">
        <v>8</v>
      </c>
      <c r="F1" s="7" t="s">
        <v>9</v>
      </c>
      <c r="G1" s="7" t="s">
        <v>10</v>
      </c>
      <c r="H1" s="7" t="s">
        <v>11</v>
      </c>
      <c r="I1" s="1" t="s">
        <v>12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73</v>
      </c>
      <c r="P1" s="1" t="s">
        <v>74</v>
      </c>
      <c r="R1" s="10" t="s">
        <v>75</v>
      </c>
      <c r="S1" s="1" t="s">
        <v>137</v>
      </c>
      <c r="T1" s="1" t="s">
        <v>139</v>
      </c>
      <c r="U1" s="1" t="s">
        <v>141</v>
      </c>
    </row>
    <row r="2" spans="1:21" x14ac:dyDescent="0.25">
      <c r="A2" s="1">
        <v>0</v>
      </c>
      <c r="B2" s="1">
        <v>0</v>
      </c>
      <c r="C2" s="1"/>
      <c r="D2" s="1"/>
      <c r="E2" s="7"/>
      <c r="F2" s="7"/>
      <c r="G2" s="7"/>
      <c r="H2" s="7"/>
      <c r="I2" s="1"/>
      <c r="J2" s="1"/>
      <c r="K2" s="1"/>
      <c r="L2" s="1"/>
      <c r="M2" s="1"/>
      <c r="N2" s="1"/>
      <c r="O2" s="1"/>
      <c r="P2" s="1"/>
      <c r="R2" s="10"/>
      <c r="S2" s="1"/>
      <c r="T2" s="1"/>
      <c r="U2" s="1"/>
    </row>
    <row r="3" spans="1:21" ht="30" x14ac:dyDescent="0.25">
      <c r="A3" s="5">
        <v>1</v>
      </c>
      <c r="B3" s="5" t="s">
        <v>1</v>
      </c>
      <c r="C3" s="4" t="s">
        <v>76</v>
      </c>
      <c r="D3" s="4" t="s">
        <v>77</v>
      </c>
      <c r="E3" s="5"/>
      <c r="F3" s="8">
        <v>42255</v>
      </c>
      <c r="G3" s="5">
        <v>54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</row>
    <row r="4" spans="1:21" ht="30" x14ac:dyDescent="0.25">
      <c r="A4" s="5">
        <v>1</v>
      </c>
      <c r="B4" s="5" t="s">
        <v>2</v>
      </c>
      <c r="C4" s="4" t="s">
        <v>77</v>
      </c>
      <c r="D4" s="4" t="s">
        <v>78</v>
      </c>
      <c r="E4" s="5"/>
      <c r="F4" s="8">
        <v>42255</v>
      </c>
      <c r="G4" s="5">
        <v>10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R4">
        <f>SUM(G3:G4)</f>
        <v>64</v>
      </c>
      <c r="S4">
        <f>SUM(H3:H4)</f>
        <v>0</v>
      </c>
      <c r="T4">
        <f>SUM(I3:I4)</f>
        <v>0</v>
      </c>
      <c r="U4">
        <f>SUM(J3:J4)</f>
        <v>0</v>
      </c>
    </row>
    <row r="5" spans="1:21" ht="30" x14ac:dyDescent="0.25">
      <c r="A5" s="5">
        <v>1</v>
      </c>
      <c r="B5" s="5" t="s">
        <v>3</v>
      </c>
      <c r="C5" s="4" t="s">
        <v>78</v>
      </c>
      <c r="D5" s="4" t="s">
        <v>134</v>
      </c>
      <c r="E5" s="5"/>
      <c r="F5" s="8">
        <v>42255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</row>
    <row r="6" spans="1:21" ht="30" x14ac:dyDescent="0.25">
      <c r="A6" s="5">
        <v>1</v>
      </c>
      <c r="B6" s="5" t="s">
        <v>4</v>
      </c>
      <c r="C6" s="4" t="s">
        <v>134</v>
      </c>
      <c r="D6" s="4" t="s">
        <v>79</v>
      </c>
      <c r="E6" s="5"/>
      <c r="F6" s="8">
        <v>42255</v>
      </c>
      <c r="G6" s="5">
        <v>43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R6">
        <f>SUM(G5:G6)</f>
        <v>43</v>
      </c>
      <c r="S6">
        <f>SUM(H5:H6)</f>
        <v>0</v>
      </c>
      <c r="T6">
        <f>SUM(I5:I6)</f>
        <v>0</v>
      </c>
      <c r="U6">
        <f>SUM(J5:J6)</f>
        <v>0</v>
      </c>
    </row>
    <row r="7" spans="1:21" ht="30" x14ac:dyDescent="0.25">
      <c r="A7" s="5">
        <v>2</v>
      </c>
      <c r="B7" s="5" t="s">
        <v>1</v>
      </c>
      <c r="C7" s="4" t="s">
        <v>79</v>
      </c>
      <c r="D7" s="4" t="s">
        <v>80</v>
      </c>
      <c r="E7" s="5"/>
      <c r="F7" s="8">
        <v>42255</v>
      </c>
      <c r="G7" s="5">
        <v>38</v>
      </c>
      <c r="H7" s="5">
        <v>1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</row>
    <row r="8" spans="1:21" ht="30" x14ac:dyDescent="0.25">
      <c r="A8" s="5">
        <v>2</v>
      </c>
      <c r="B8" s="5" t="s">
        <v>2</v>
      </c>
      <c r="C8" s="4" t="s">
        <v>80</v>
      </c>
      <c r="D8" s="4" t="s">
        <v>81</v>
      </c>
      <c r="E8" s="5"/>
      <c r="F8" s="8">
        <v>42255</v>
      </c>
      <c r="G8" s="5">
        <v>72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R8">
        <f>SUM(G7:G8)</f>
        <v>110</v>
      </c>
      <c r="S8">
        <f>SUM(H7:H8)</f>
        <v>1</v>
      </c>
      <c r="T8">
        <f>SUM(I7:I8)</f>
        <v>0</v>
      </c>
      <c r="U8">
        <f>SUM(J7:J8)</f>
        <v>0</v>
      </c>
    </row>
    <row r="9" spans="1:21" ht="30" x14ac:dyDescent="0.25">
      <c r="A9" s="5">
        <v>2</v>
      </c>
      <c r="B9" s="5" t="s">
        <v>3</v>
      </c>
      <c r="C9" s="4" t="s">
        <v>81</v>
      </c>
      <c r="D9" s="4" t="s">
        <v>82</v>
      </c>
      <c r="E9" s="5"/>
      <c r="F9" s="8">
        <v>42255</v>
      </c>
      <c r="G9" s="5">
        <v>61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</row>
    <row r="10" spans="1:21" ht="30" x14ac:dyDescent="0.25">
      <c r="A10" s="5">
        <v>2</v>
      </c>
      <c r="B10" s="5" t="s">
        <v>4</v>
      </c>
      <c r="C10" s="4" t="s">
        <v>82</v>
      </c>
      <c r="D10" s="4" t="s">
        <v>83</v>
      </c>
      <c r="E10" s="5"/>
      <c r="F10" s="8">
        <v>42255</v>
      </c>
      <c r="G10" s="5">
        <v>45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R10">
        <f>SUM(G9:G10)</f>
        <v>106</v>
      </c>
      <c r="S10">
        <f>SUM(H9:H10)</f>
        <v>0</v>
      </c>
      <c r="T10">
        <f>SUM(I9:I10)</f>
        <v>0</v>
      </c>
      <c r="U10">
        <f>SUM(J9:J10)</f>
        <v>0</v>
      </c>
    </row>
    <row r="11" spans="1:21" ht="30" x14ac:dyDescent="0.25">
      <c r="A11" s="5">
        <v>3</v>
      </c>
      <c r="B11" s="5" t="s">
        <v>1</v>
      </c>
      <c r="C11" s="4" t="s">
        <v>83</v>
      </c>
      <c r="D11" s="4" t="s">
        <v>84</v>
      </c>
      <c r="E11" s="5"/>
      <c r="F11" s="8">
        <v>42256</v>
      </c>
      <c r="G11" s="5">
        <v>22</v>
      </c>
      <c r="H11" s="5">
        <v>1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</row>
    <row r="12" spans="1:21" ht="30" x14ac:dyDescent="0.25">
      <c r="A12" s="5">
        <v>3</v>
      </c>
      <c r="B12" s="5" t="s">
        <v>2</v>
      </c>
      <c r="C12" s="4" t="s">
        <v>84</v>
      </c>
      <c r="D12" s="4" t="s">
        <v>85</v>
      </c>
      <c r="E12" s="5"/>
      <c r="F12" s="8">
        <v>42256</v>
      </c>
      <c r="G12" s="5">
        <v>9</v>
      </c>
      <c r="H12" s="5">
        <v>2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R12">
        <f>SUM(G11:G12)</f>
        <v>31</v>
      </c>
      <c r="S12">
        <f>SUM(H11:H12)</f>
        <v>3</v>
      </c>
      <c r="T12">
        <f>SUM(I11:I12)</f>
        <v>0</v>
      </c>
      <c r="U12">
        <f>SUM(J11:J12)</f>
        <v>0</v>
      </c>
    </row>
    <row r="13" spans="1:21" ht="30" x14ac:dyDescent="0.25">
      <c r="A13" s="5">
        <v>3</v>
      </c>
      <c r="B13" s="5" t="s">
        <v>3</v>
      </c>
      <c r="C13" s="4" t="s">
        <v>85</v>
      </c>
      <c r="D13" s="4" t="s">
        <v>86</v>
      </c>
      <c r="E13" s="5"/>
      <c r="F13" s="8">
        <v>42256</v>
      </c>
      <c r="G13" s="5">
        <v>44</v>
      </c>
      <c r="H13" s="5">
        <v>2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</row>
    <row r="14" spans="1:21" ht="30" x14ac:dyDescent="0.25">
      <c r="A14" s="5">
        <v>3</v>
      </c>
      <c r="B14" s="5" t="s">
        <v>4</v>
      </c>
      <c r="C14" s="4" t="s">
        <v>86</v>
      </c>
      <c r="D14" s="4" t="s">
        <v>87</v>
      </c>
      <c r="E14" s="5"/>
      <c r="F14" s="8">
        <v>42256</v>
      </c>
      <c r="G14" s="5">
        <v>215</v>
      </c>
      <c r="H14" s="5">
        <v>1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R14">
        <f>SUM(G13:G14)</f>
        <v>259</v>
      </c>
      <c r="S14">
        <f>SUM(H13:H14)</f>
        <v>3</v>
      </c>
      <c r="T14">
        <f>SUM(I13:I14)</f>
        <v>0</v>
      </c>
      <c r="U14">
        <f>SUM(J13:J14)</f>
        <v>0</v>
      </c>
    </row>
    <row r="15" spans="1:21" ht="30" x14ac:dyDescent="0.25">
      <c r="A15" s="5">
        <v>4</v>
      </c>
      <c r="B15" s="5" t="s">
        <v>1</v>
      </c>
      <c r="C15" s="4" t="s">
        <v>87</v>
      </c>
      <c r="D15" s="4" t="s">
        <v>88</v>
      </c>
      <c r="E15" s="5"/>
      <c r="F15" s="8">
        <v>42256</v>
      </c>
      <c r="G15" s="5">
        <v>77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</row>
    <row r="16" spans="1:21" ht="30" x14ac:dyDescent="0.25">
      <c r="A16" s="5">
        <v>4</v>
      </c>
      <c r="B16" s="5" t="s">
        <v>2</v>
      </c>
      <c r="C16" s="4" t="s">
        <v>88</v>
      </c>
      <c r="D16" s="4" t="s">
        <v>89</v>
      </c>
      <c r="E16" s="5"/>
      <c r="F16" s="8">
        <v>42256</v>
      </c>
      <c r="G16" s="5">
        <v>110</v>
      </c>
      <c r="H16" s="5">
        <v>1</v>
      </c>
      <c r="I16" s="5">
        <v>0</v>
      </c>
      <c r="J16" s="5">
        <v>1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R16">
        <f>SUM(G15:G16)</f>
        <v>187</v>
      </c>
      <c r="S16">
        <f>SUM(H15:H16)</f>
        <v>1</v>
      </c>
      <c r="T16">
        <f>SUM(I15:I16)</f>
        <v>0</v>
      </c>
      <c r="U16">
        <f>SUM(J15:J16)</f>
        <v>1</v>
      </c>
    </row>
    <row r="17" spans="1:21" ht="30" x14ac:dyDescent="0.25">
      <c r="A17" s="5">
        <v>4</v>
      </c>
      <c r="B17" s="5" t="s">
        <v>3</v>
      </c>
      <c r="C17" s="4" t="s">
        <v>89</v>
      </c>
      <c r="D17" s="4" t="s">
        <v>90</v>
      </c>
      <c r="E17" s="5"/>
      <c r="F17" s="8">
        <v>42256</v>
      </c>
      <c r="G17" s="5">
        <v>141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</row>
    <row r="18" spans="1:21" ht="30" x14ac:dyDescent="0.25">
      <c r="A18" s="5">
        <v>4</v>
      </c>
      <c r="B18" s="5" t="s">
        <v>4</v>
      </c>
      <c r="C18" s="4" t="s">
        <v>90</v>
      </c>
      <c r="D18" s="4" t="s">
        <v>91</v>
      </c>
      <c r="E18" s="5"/>
      <c r="F18" s="8">
        <v>42256</v>
      </c>
      <c r="G18" s="5">
        <v>17</v>
      </c>
      <c r="H18" s="5">
        <v>0</v>
      </c>
      <c r="I18" s="5">
        <v>1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R18">
        <f>SUM(G17:G18)</f>
        <v>158</v>
      </c>
      <c r="S18">
        <f>SUM(H17:H18)</f>
        <v>0</v>
      </c>
      <c r="T18">
        <f>SUM(I17:I18)</f>
        <v>1</v>
      </c>
      <c r="U18">
        <f>SUM(J17:J18)</f>
        <v>0</v>
      </c>
    </row>
    <row r="19" spans="1:21" ht="30" x14ac:dyDescent="0.25">
      <c r="A19" s="5">
        <v>5</v>
      </c>
      <c r="B19" s="5" t="s">
        <v>1</v>
      </c>
      <c r="C19" s="4" t="s">
        <v>91</v>
      </c>
      <c r="D19" s="4" t="s">
        <v>92</v>
      </c>
      <c r="E19" s="5"/>
      <c r="F19" s="8">
        <v>42256</v>
      </c>
      <c r="G19" s="5">
        <v>151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1</v>
      </c>
      <c r="P19" s="5">
        <v>0</v>
      </c>
    </row>
    <row r="20" spans="1:21" ht="30" x14ac:dyDescent="0.25">
      <c r="A20" s="5">
        <v>5</v>
      </c>
      <c r="B20" s="5" t="s">
        <v>2</v>
      </c>
      <c r="C20" s="4" t="s">
        <v>92</v>
      </c>
      <c r="D20" s="4" t="s">
        <v>93</v>
      </c>
      <c r="E20" s="5"/>
      <c r="F20" s="8">
        <v>42256</v>
      </c>
      <c r="G20" s="5">
        <v>59</v>
      </c>
      <c r="H20" s="5">
        <v>0</v>
      </c>
      <c r="I20" s="5">
        <v>1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R20">
        <f>SUM(G19:G20)</f>
        <v>210</v>
      </c>
      <c r="S20">
        <f>SUM(H19:H20)</f>
        <v>0</v>
      </c>
      <c r="T20">
        <f>SUM(I19:I20)</f>
        <v>1</v>
      </c>
      <c r="U20">
        <f>SUM(J19:J20)</f>
        <v>0</v>
      </c>
    </row>
    <row r="21" spans="1:21" ht="30" x14ac:dyDescent="0.25">
      <c r="A21" s="5">
        <v>5</v>
      </c>
      <c r="B21" s="5" t="s">
        <v>3</v>
      </c>
      <c r="C21" s="4" t="s">
        <v>93</v>
      </c>
      <c r="D21" s="4" t="s">
        <v>94</v>
      </c>
      <c r="E21" s="5"/>
      <c r="F21" s="8">
        <v>42256</v>
      </c>
      <c r="G21" s="5">
        <v>53</v>
      </c>
      <c r="H21" s="5">
        <v>3</v>
      </c>
      <c r="I21" s="5">
        <v>0</v>
      </c>
      <c r="J21" s="5">
        <v>2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</row>
    <row r="22" spans="1:21" ht="30" x14ac:dyDescent="0.25">
      <c r="A22" s="5">
        <v>5</v>
      </c>
      <c r="B22" s="5" t="s">
        <v>4</v>
      </c>
      <c r="C22" s="4" t="s">
        <v>94</v>
      </c>
      <c r="D22" s="4" t="s">
        <v>95</v>
      </c>
      <c r="E22" s="5"/>
      <c r="F22" s="8">
        <v>42256</v>
      </c>
      <c r="G22" s="5">
        <v>121</v>
      </c>
      <c r="H22" s="5">
        <v>3</v>
      </c>
      <c r="I22" s="5">
        <v>3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R22">
        <f>SUM(G21:G22)</f>
        <v>174</v>
      </c>
      <c r="S22">
        <f>SUM(H21:H22)</f>
        <v>6</v>
      </c>
      <c r="T22">
        <f>SUM(I21:I22)</f>
        <v>3</v>
      </c>
      <c r="U22">
        <f>SUM(J21:J22)</f>
        <v>2</v>
      </c>
    </row>
    <row r="23" spans="1:21" ht="30" x14ac:dyDescent="0.25">
      <c r="A23" s="5">
        <v>6</v>
      </c>
      <c r="B23" s="5" t="s">
        <v>1</v>
      </c>
      <c r="C23" s="4" t="s">
        <v>95</v>
      </c>
      <c r="D23" s="4" t="s">
        <v>96</v>
      </c>
      <c r="E23" s="5"/>
      <c r="F23" s="8">
        <v>42256</v>
      </c>
      <c r="G23" s="5">
        <v>124</v>
      </c>
      <c r="H23" s="5">
        <v>2</v>
      </c>
      <c r="I23" s="5">
        <v>1</v>
      </c>
      <c r="J23" s="5">
        <v>1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</row>
    <row r="24" spans="1:21" ht="30" x14ac:dyDescent="0.25">
      <c r="A24" s="5">
        <v>6</v>
      </c>
      <c r="B24" s="5" t="s">
        <v>2</v>
      </c>
      <c r="C24" s="4" t="s">
        <v>96</v>
      </c>
      <c r="D24" s="4" t="s">
        <v>97</v>
      </c>
      <c r="E24" s="5"/>
      <c r="F24" s="8">
        <v>42256</v>
      </c>
      <c r="G24" s="5">
        <v>52</v>
      </c>
      <c r="H24" s="5">
        <v>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R24">
        <f>SUM(G23:G24)</f>
        <v>176</v>
      </c>
      <c r="S24">
        <f>SUM(H23:H24)</f>
        <v>3</v>
      </c>
      <c r="T24">
        <f>SUM(I23:I24)</f>
        <v>1</v>
      </c>
      <c r="U24">
        <f>SUM(J23:J24)</f>
        <v>1</v>
      </c>
    </row>
    <row r="25" spans="1:21" ht="30" x14ac:dyDescent="0.25">
      <c r="A25" s="5">
        <v>6</v>
      </c>
      <c r="B25" s="5" t="s">
        <v>3</v>
      </c>
      <c r="C25" s="4" t="s">
        <v>97</v>
      </c>
      <c r="D25" s="4" t="s">
        <v>98</v>
      </c>
      <c r="E25" s="5"/>
      <c r="F25" s="8">
        <v>42256</v>
      </c>
      <c r="G25" s="5">
        <v>134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</row>
    <row r="26" spans="1:21" ht="30" x14ac:dyDescent="0.25">
      <c r="A26" s="5">
        <v>6</v>
      </c>
      <c r="B26" s="5" t="s">
        <v>4</v>
      </c>
      <c r="C26" s="4" t="s">
        <v>98</v>
      </c>
      <c r="D26" s="4" t="s">
        <v>99</v>
      </c>
      <c r="E26" s="5"/>
      <c r="F26" s="8">
        <v>42256</v>
      </c>
      <c r="G26" s="5">
        <v>100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U26">
        <f>SUM(J25:J26)</f>
        <v>0</v>
      </c>
    </row>
    <row r="27" spans="1:21" ht="30" x14ac:dyDescent="0.25">
      <c r="A27" s="5">
        <v>7</v>
      </c>
      <c r="B27" s="5" t="s">
        <v>1</v>
      </c>
      <c r="C27" s="4" t="s">
        <v>99</v>
      </c>
      <c r="D27" s="4" t="s">
        <v>100</v>
      </c>
      <c r="E27" s="5"/>
      <c r="F27" s="8">
        <v>42256</v>
      </c>
      <c r="G27" s="5">
        <v>105</v>
      </c>
      <c r="H27" s="5">
        <v>1</v>
      </c>
      <c r="I27" s="5">
        <v>3</v>
      </c>
      <c r="J27" s="5">
        <v>1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1</v>
      </c>
      <c r="R27">
        <f>SUM(G26:G27)</f>
        <v>205</v>
      </c>
      <c r="S27">
        <f>SUM(H26:H27)</f>
        <v>1</v>
      </c>
      <c r="T27">
        <f>SUM(I26:I27)</f>
        <v>3</v>
      </c>
    </row>
    <row r="28" spans="1:21" ht="30" x14ac:dyDescent="0.25">
      <c r="A28" s="5">
        <v>7</v>
      </c>
      <c r="B28" s="5" t="s">
        <v>2</v>
      </c>
      <c r="C28" s="4" t="s">
        <v>100</v>
      </c>
      <c r="D28" s="4" t="s">
        <v>101</v>
      </c>
      <c r="E28" s="5"/>
      <c r="F28" s="8">
        <v>42256</v>
      </c>
      <c r="G28" s="5">
        <v>249</v>
      </c>
      <c r="H28" s="5">
        <v>0</v>
      </c>
      <c r="I28" s="5">
        <v>0</v>
      </c>
      <c r="J28" s="5">
        <v>2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U28">
        <f>SUM(J27:J28)</f>
        <v>3</v>
      </c>
    </row>
    <row r="29" spans="1:21" ht="30" x14ac:dyDescent="0.25">
      <c r="A29" s="5">
        <v>7</v>
      </c>
      <c r="B29" s="5" t="s">
        <v>3</v>
      </c>
      <c r="C29" s="4" t="s">
        <v>101</v>
      </c>
      <c r="D29" s="4" t="s">
        <v>102</v>
      </c>
      <c r="E29" s="5"/>
      <c r="F29" s="8">
        <v>42256</v>
      </c>
      <c r="G29" s="5">
        <v>89</v>
      </c>
      <c r="H29" s="5">
        <v>0</v>
      </c>
      <c r="I29" s="5">
        <v>0</v>
      </c>
      <c r="J29" s="5">
        <v>2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R29">
        <f>SUM(G28:G29)</f>
        <v>338</v>
      </c>
      <c r="S29">
        <f>SUM(H28:H29)</f>
        <v>0</v>
      </c>
      <c r="T29">
        <f>SUM(I28:I29)</f>
        <v>0</v>
      </c>
    </row>
    <row r="30" spans="1:21" ht="30" x14ac:dyDescent="0.25">
      <c r="A30" s="5">
        <v>7</v>
      </c>
      <c r="B30" s="5" t="s">
        <v>4</v>
      </c>
      <c r="C30" s="4" t="s">
        <v>102</v>
      </c>
      <c r="D30" s="4" t="s">
        <v>103</v>
      </c>
      <c r="E30" s="5"/>
      <c r="F30" s="8">
        <v>42256</v>
      </c>
      <c r="G30" s="5">
        <v>65</v>
      </c>
      <c r="H30" s="5">
        <v>0</v>
      </c>
      <c r="I30" s="5">
        <v>0</v>
      </c>
      <c r="J30" s="5">
        <v>0</v>
      </c>
      <c r="K30" s="5">
        <v>0</v>
      </c>
      <c r="L30" s="5">
        <v>1</v>
      </c>
      <c r="M30" s="5">
        <v>0</v>
      </c>
      <c r="N30" s="5">
        <v>0</v>
      </c>
      <c r="O30" s="5">
        <v>0</v>
      </c>
      <c r="P30" s="5">
        <v>0</v>
      </c>
      <c r="U30">
        <f>SUM(J29:J30)</f>
        <v>2</v>
      </c>
    </row>
    <row r="31" spans="1:21" ht="30" x14ac:dyDescent="0.25">
      <c r="A31" s="5">
        <v>8</v>
      </c>
      <c r="B31" s="5" t="s">
        <v>1</v>
      </c>
      <c r="C31" s="4" t="s">
        <v>103</v>
      </c>
      <c r="D31" s="4" t="s">
        <v>104</v>
      </c>
      <c r="E31" s="5"/>
      <c r="F31" s="8">
        <v>42256</v>
      </c>
      <c r="G31" s="5">
        <v>48</v>
      </c>
      <c r="H31" s="5">
        <v>0</v>
      </c>
      <c r="I31" s="5">
        <v>1</v>
      </c>
      <c r="J31" s="5">
        <v>1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R31">
        <f>SUM(G30:G31)</f>
        <v>113</v>
      </c>
      <c r="S31">
        <f>SUM(H30:H31)</f>
        <v>0</v>
      </c>
      <c r="T31">
        <f>SUM(I30:I31)</f>
        <v>1</v>
      </c>
    </row>
    <row r="32" spans="1:21" ht="30" x14ac:dyDescent="0.25">
      <c r="A32" s="5">
        <v>8</v>
      </c>
      <c r="B32" s="5" t="s">
        <v>2</v>
      </c>
      <c r="C32" s="4" t="s">
        <v>104</v>
      </c>
      <c r="D32" s="4" t="s">
        <v>105</v>
      </c>
      <c r="E32" s="5"/>
      <c r="F32" s="8">
        <v>42256</v>
      </c>
      <c r="G32" s="5">
        <v>46</v>
      </c>
      <c r="H32" s="5">
        <v>1</v>
      </c>
      <c r="I32" s="5">
        <v>0</v>
      </c>
      <c r="J32" s="5">
        <v>2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U32">
        <f>SUM(J31:J32)</f>
        <v>3</v>
      </c>
    </row>
    <row r="33" spans="1:21" ht="30" x14ac:dyDescent="0.25">
      <c r="A33" s="5">
        <v>8</v>
      </c>
      <c r="B33" s="5" t="s">
        <v>3</v>
      </c>
      <c r="C33" s="4" t="s">
        <v>105</v>
      </c>
      <c r="D33" s="4" t="s">
        <v>106</v>
      </c>
      <c r="E33" s="5"/>
      <c r="F33" s="8">
        <v>42256</v>
      </c>
      <c r="G33" s="5">
        <v>37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R33">
        <f>SUM(G32:G33)</f>
        <v>83</v>
      </c>
      <c r="S33">
        <f>SUM(H32:H33)</f>
        <v>1</v>
      </c>
      <c r="T33">
        <f>SUM(I32:I33)</f>
        <v>0</v>
      </c>
    </row>
    <row r="34" spans="1:21" ht="30" x14ac:dyDescent="0.25">
      <c r="A34" s="5">
        <v>8</v>
      </c>
      <c r="B34" s="5" t="s">
        <v>4</v>
      </c>
      <c r="C34" s="4" t="s">
        <v>106</v>
      </c>
      <c r="D34" s="4" t="s">
        <v>107</v>
      </c>
      <c r="E34" s="5"/>
      <c r="F34" s="8">
        <v>42256</v>
      </c>
      <c r="G34" s="5">
        <v>22</v>
      </c>
      <c r="H34" s="5">
        <v>0</v>
      </c>
      <c r="I34" s="5">
        <v>0</v>
      </c>
      <c r="J34" s="5">
        <v>0</v>
      </c>
      <c r="K34" s="5">
        <v>0</v>
      </c>
      <c r="L34" s="5">
        <v>1</v>
      </c>
      <c r="M34" s="5">
        <v>0</v>
      </c>
      <c r="N34" s="5">
        <v>0</v>
      </c>
      <c r="O34" s="5">
        <v>0</v>
      </c>
      <c r="P34" s="5">
        <v>0</v>
      </c>
      <c r="U34">
        <f>SUM(J33:J34)</f>
        <v>0</v>
      </c>
    </row>
    <row r="35" spans="1:21" ht="30" x14ac:dyDescent="0.25">
      <c r="A35" s="5">
        <v>9</v>
      </c>
      <c r="B35" s="5" t="s">
        <v>1</v>
      </c>
      <c r="C35" s="4" t="s">
        <v>107</v>
      </c>
      <c r="D35" s="4" t="s">
        <v>108</v>
      </c>
      <c r="E35" s="5"/>
      <c r="F35" s="8">
        <v>42256</v>
      </c>
      <c r="G35" s="5">
        <v>36</v>
      </c>
      <c r="H35" s="5">
        <v>1</v>
      </c>
      <c r="I35" s="5">
        <v>0</v>
      </c>
      <c r="J35" s="5">
        <v>2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R35">
        <f>SUM(G34:G35)</f>
        <v>58</v>
      </c>
      <c r="S35">
        <f>SUM(H34:H35)</f>
        <v>1</v>
      </c>
      <c r="T35">
        <f>SUM(I34:I35)</f>
        <v>0</v>
      </c>
    </row>
    <row r="36" spans="1:21" ht="30" x14ac:dyDescent="0.25">
      <c r="A36" s="5">
        <v>9</v>
      </c>
      <c r="B36" s="5" t="s">
        <v>2</v>
      </c>
      <c r="C36" s="4" t="s">
        <v>108</v>
      </c>
      <c r="D36" s="4" t="s">
        <v>109</v>
      </c>
      <c r="E36" s="5"/>
      <c r="F36" s="8">
        <v>42256</v>
      </c>
      <c r="G36" s="5">
        <v>43</v>
      </c>
      <c r="H36" s="5">
        <v>1</v>
      </c>
      <c r="I36" s="5">
        <v>0</v>
      </c>
      <c r="J36" s="5">
        <v>1</v>
      </c>
      <c r="K36" s="5">
        <v>0</v>
      </c>
      <c r="L36" s="5">
        <v>1</v>
      </c>
      <c r="M36" s="5">
        <v>0</v>
      </c>
      <c r="N36" s="5">
        <v>0</v>
      </c>
      <c r="O36" s="5">
        <v>0</v>
      </c>
      <c r="P36" s="5">
        <v>0</v>
      </c>
      <c r="U36">
        <f>SUM(J35:J36)</f>
        <v>3</v>
      </c>
    </row>
    <row r="37" spans="1:21" ht="30" x14ac:dyDescent="0.25">
      <c r="A37" s="5">
        <v>9</v>
      </c>
      <c r="B37" s="5" t="s">
        <v>3</v>
      </c>
      <c r="C37" s="4" t="s">
        <v>109</v>
      </c>
      <c r="D37" s="4" t="s">
        <v>110</v>
      </c>
      <c r="E37" s="5"/>
      <c r="F37" s="8">
        <v>42256</v>
      </c>
      <c r="G37" s="5">
        <v>41</v>
      </c>
      <c r="H37" s="5">
        <v>0</v>
      </c>
      <c r="I37" s="5">
        <v>0</v>
      </c>
      <c r="J37" s="5">
        <v>0</v>
      </c>
      <c r="K37" s="5">
        <v>0</v>
      </c>
      <c r="L37" s="5">
        <v>4</v>
      </c>
      <c r="M37" s="5">
        <v>0</v>
      </c>
      <c r="N37" s="5">
        <v>0</v>
      </c>
      <c r="O37" s="5">
        <v>0</v>
      </c>
      <c r="P37" s="5">
        <v>0</v>
      </c>
      <c r="R37">
        <f>SUM(G36:G37)</f>
        <v>84</v>
      </c>
      <c r="S37">
        <f>SUM(H36:H37)</f>
        <v>1</v>
      </c>
      <c r="T37">
        <f>SUM(I36:I37)</f>
        <v>0</v>
      </c>
    </row>
    <row r="38" spans="1:21" ht="30" x14ac:dyDescent="0.25">
      <c r="A38" s="5">
        <v>9</v>
      </c>
      <c r="B38" s="5" t="s">
        <v>4</v>
      </c>
      <c r="C38" s="4" t="s">
        <v>110</v>
      </c>
      <c r="D38" s="4" t="s">
        <v>111</v>
      </c>
      <c r="E38" s="5"/>
      <c r="F38" s="8">
        <v>42256</v>
      </c>
      <c r="G38" s="5">
        <v>21</v>
      </c>
      <c r="H38" s="5">
        <v>1</v>
      </c>
      <c r="I38" s="5">
        <v>0</v>
      </c>
      <c r="J38" s="5">
        <v>2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U38">
        <f>SUM(J37:J38)</f>
        <v>2</v>
      </c>
    </row>
    <row r="39" spans="1:21" ht="30" x14ac:dyDescent="0.25">
      <c r="A39" s="5">
        <v>10</v>
      </c>
      <c r="B39" s="5" t="s">
        <v>1</v>
      </c>
      <c r="C39" s="4" t="s">
        <v>111</v>
      </c>
      <c r="D39" s="4" t="s">
        <v>112</v>
      </c>
      <c r="E39" s="5"/>
      <c r="F39" s="8">
        <v>42256</v>
      </c>
      <c r="G39" s="5">
        <v>22</v>
      </c>
      <c r="H39" s="5">
        <v>0</v>
      </c>
      <c r="I39" s="5">
        <v>0</v>
      </c>
      <c r="J39" s="5">
        <v>2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R39">
        <f>SUM(G38:G39)</f>
        <v>43</v>
      </c>
      <c r="S39">
        <f>SUM(H38:H39)</f>
        <v>1</v>
      </c>
      <c r="T39">
        <f>SUM(I38:I39)</f>
        <v>0</v>
      </c>
    </row>
    <row r="40" spans="1:21" ht="30" x14ac:dyDescent="0.25">
      <c r="A40" s="5">
        <v>10</v>
      </c>
      <c r="B40" s="5" t="s">
        <v>2</v>
      </c>
      <c r="C40" s="4" t="s">
        <v>112</v>
      </c>
      <c r="D40" s="4" t="s">
        <v>113</v>
      </c>
      <c r="E40" s="5"/>
      <c r="F40" s="8">
        <v>42256</v>
      </c>
      <c r="G40" s="5">
        <v>4</v>
      </c>
      <c r="H40" s="5">
        <v>0</v>
      </c>
      <c r="I40" s="5">
        <v>0</v>
      </c>
      <c r="J40" s="5">
        <v>2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U40">
        <f>SUM(J39:J40)</f>
        <v>4</v>
      </c>
    </row>
    <row r="41" spans="1:21" ht="30" x14ac:dyDescent="0.25">
      <c r="A41" s="5">
        <v>10</v>
      </c>
      <c r="B41" s="5" t="s">
        <v>3</v>
      </c>
      <c r="C41" s="4" t="s">
        <v>113</v>
      </c>
      <c r="D41" s="4" t="s">
        <v>114</v>
      </c>
      <c r="E41" s="5"/>
      <c r="F41" s="8">
        <v>42256</v>
      </c>
      <c r="G41" s="5">
        <v>4</v>
      </c>
      <c r="H41" s="5">
        <v>0</v>
      </c>
      <c r="I41" s="5">
        <v>0</v>
      </c>
      <c r="J41" s="5">
        <v>5</v>
      </c>
      <c r="K41" s="5">
        <v>1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R41">
        <f>SUM(G40:G41)</f>
        <v>8</v>
      </c>
      <c r="S41">
        <f>SUM(H40:H41)</f>
        <v>0</v>
      </c>
      <c r="T41">
        <f>SUM(I40:I41)</f>
        <v>0</v>
      </c>
    </row>
    <row r="42" spans="1:21" ht="30" x14ac:dyDescent="0.25">
      <c r="A42" s="5">
        <v>10</v>
      </c>
      <c r="B42" s="5" t="s">
        <v>4</v>
      </c>
      <c r="C42" s="4" t="s">
        <v>114</v>
      </c>
      <c r="D42" s="4" t="s">
        <v>115</v>
      </c>
      <c r="E42" s="5"/>
      <c r="F42" s="8">
        <v>42256</v>
      </c>
      <c r="G42" s="5">
        <v>4</v>
      </c>
      <c r="H42" s="5">
        <v>1</v>
      </c>
      <c r="I42" s="5">
        <v>0</v>
      </c>
      <c r="J42" s="5">
        <v>5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U42">
        <f>SUM(J41:J42)</f>
        <v>10</v>
      </c>
    </row>
    <row r="43" spans="1:21" ht="30" x14ac:dyDescent="0.25">
      <c r="A43" s="5">
        <v>11</v>
      </c>
      <c r="B43" s="5" t="s">
        <v>1</v>
      </c>
      <c r="C43" s="4" t="s">
        <v>115</v>
      </c>
      <c r="D43" s="4" t="s">
        <v>116</v>
      </c>
      <c r="E43" s="5"/>
      <c r="F43" s="8">
        <v>42257</v>
      </c>
      <c r="G43" s="5">
        <v>10</v>
      </c>
      <c r="H43" s="5">
        <v>0</v>
      </c>
      <c r="I43" s="5">
        <v>0</v>
      </c>
      <c r="J43" s="5">
        <v>1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R43">
        <f>SUM(G42:G43)</f>
        <v>14</v>
      </c>
      <c r="S43">
        <f>SUM(H42:H43)</f>
        <v>1</v>
      </c>
      <c r="T43">
        <f>SUM(I42:I43)</f>
        <v>0</v>
      </c>
    </row>
    <row r="44" spans="1:21" ht="30" x14ac:dyDescent="0.25">
      <c r="A44" s="5">
        <v>11</v>
      </c>
      <c r="B44" s="5" t="s">
        <v>2</v>
      </c>
      <c r="C44" s="4" t="s">
        <v>116</v>
      </c>
      <c r="D44" s="4" t="s">
        <v>117</v>
      </c>
      <c r="E44" s="5"/>
      <c r="F44" s="8">
        <v>42257</v>
      </c>
      <c r="G44" s="5">
        <v>6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U44">
        <f>SUM(J43:J44)</f>
        <v>1</v>
      </c>
    </row>
    <row r="45" spans="1:21" ht="30" x14ac:dyDescent="0.25">
      <c r="A45" s="5">
        <v>11</v>
      </c>
      <c r="B45" s="5" t="s">
        <v>3</v>
      </c>
      <c r="C45" s="4" t="s">
        <v>117</v>
      </c>
      <c r="D45" s="4" t="s">
        <v>118</v>
      </c>
      <c r="E45" s="5"/>
      <c r="F45" s="8">
        <v>42257</v>
      </c>
      <c r="G45" s="5">
        <v>11</v>
      </c>
      <c r="H45" s="5">
        <v>3</v>
      </c>
      <c r="I45" s="5">
        <v>0</v>
      </c>
      <c r="J45" s="5">
        <v>4</v>
      </c>
      <c r="K45" s="5">
        <v>1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R45">
        <f>SUM(G44:G45)</f>
        <v>17</v>
      </c>
      <c r="S45">
        <f>SUM(H44:H45)</f>
        <v>3</v>
      </c>
      <c r="T45">
        <f>SUM(I44:I45)</f>
        <v>0</v>
      </c>
    </row>
    <row r="46" spans="1:21" ht="30" x14ac:dyDescent="0.25">
      <c r="A46" s="5">
        <v>11</v>
      </c>
      <c r="B46" s="5" t="s">
        <v>4</v>
      </c>
      <c r="C46" s="4" t="s">
        <v>118</v>
      </c>
      <c r="D46" s="4" t="s">
        <v>119</v>
      </c>
      <c r="E46" s="5"/>
      <c r="F46" s="8">
        <v>42257</v>
      </c>
      <c r="G46" s="5">
        <v>3</v>
      </c>
      <c r="H46" s="5">
        <v>0</v>
      </c>
      <c r="I46" s="5">
        <v>0</v>
      </c>
      <c r="J46" s="5">
        <v>0</v>
      </c>
      <c r="K46" s="5">
        <v>1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U46">
        <f>SUM(J45:J46)</f>
        <v>4</v>
      </c>
    </row>
    <row r="47" spans="1:21" ht="30" x14ac:dyDescent="0.25">
      <c r="A47" s="5">
        <v>12</v>
      </c>
      <c r="B47" s="5" t="s">
        <v>1</v>
      </c>
      <c r="C47" s="4" t="s">
        <v>120</v>
      </c>
      <c r="D47" s="4" t="s">
        <v>121</v>
      </c>
      <c r="E47" s="5"/>
      <c r="F47" s="8">
        <v>42257</v>
      </c>
      <c r="G47" s="5">
        <v>9</v>
      </c>
      <c r="H47" s="5">
        <v>0</v>
      </c>
      <c r="I47" s="5">
        <v>0</v>
      </c>
      <c r="J47" s="5">
        <v>2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R47">
        <f>SUM(G46:G47)</f>
        <v>12</v>
      </c>
      <c r="S47">
        <f>SUM(H46:H47)</f>
        <v>0</v>
      </c>
      <c r="T47">
        <f>SUM(I46:I47)</f>
        <v>0</v>
      </c>
    </row>
    <row r="48" spans="1:21" ht="30" x14ac:dyDescent="0.25">
      <c r="A48" s="5">
        <v>12</v>
      </c>
      <c r="B48" s="5" t="s">
        <v>2</v>
      </c>
      <c r="C48" s="4" t="s">
        <v>121</v>
      </c>
      <c r="D48" s="4" t="s">
        <v>122</v>
      </c>
      <c r="E48" s="5"/>
      <c r="F48" s="8">
        <v>42257</v>
      </c>
      <c r="G48" s="5">
        <v>6</v>
      </c>
      <c r="H48" s="5">
        <v>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U48">
        <f>SUM(J47:J48)</f>
        <v>2</v>
      </c>
    </row>
    <row r="49" spans="1:21" ht="30" x14ac:dyDescent="0.25">
      <c r="A49" s="5">
        <v>12</v>
      </c>
      <c r="B49" s="5" t="s">
        <v>3</v>
      </c>
      <c r="C49" s="4" t="s">
        <v>122</v>
      </c>
      <c r="D49" s="4" t="s">
        <v>123</v>
      </c>
      <c r="E49" s="5"/>
      <c r="F49" s="8">
        <v>42257</v>
      </c>
      <c r="G49" s="5">
        <v>31</v>
      </c>
      <c r="H49" s="5">
        <v>0</v>
      </c>
      <c r="I49" s="5">
        <v>0</v>
      </c>
      <c r="J49" s="5">
        <v>1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R49">
        <f>SUM(G48:G49)</f>
        <v>37</v>
      </c>
      <c r="S49">
        <f>SUM(H48:H49)</f>
        <v>1</v>
      </c>
      <c r="T49">
        <f>SUM(I48:I49)</f>
        <v>0</v>
      </c>
    </row>
    <row r="50" spans="1:21" ht="30" x14ac:dyDescent="0.25">
      <c r="A50" s="5">
        <v>12</v>
      </c>
      <c r="B50" s="5" t="s">
        <v>4</v>
      </c>
      <c r="C50" s="4" t="s">
        <v>123</v>
      </c>
      <c r="D50" s="4" t="s">
        <v>124</v>
      </c>
      <c r="E50" s="5"/>
      <c r="F50" s="8">
        <v>42257</v>
      </c>
      <c r="G50" s="5">
        <v>43</v>
      </c>
      <c r="H50" s="5">
        <v>2</v>
      </c>
      <c r="I50" s="5">
        <v>0</v>
      </c>
      <c r="J50" s="5">
        <v>0</v>
      </c>
      <c r="K50" s="5">
        <v>1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U50">
        <f>SUM(J49:J50)</f>
        <v>1</v>
      </c>
    </row>
    <row r="51" spans="1:21" ht="30" x14ac:dyDescent="0.25">
      <c r="A51" s="5">
        <v>13</v>
      </c>
      <c r="B51" s="5" t="s">
        <v>1</v>
      </c>
      <c r="C51" s="4" t="s">
        <v>124</v>
      </c>
      <c r="D51" s="4" t="s">
        <v>125</v>
      </c>
      <c r="E51" s="5"/>
      <c r="F51" s="8">
        <v>42257</v>
      </c>
      <c r="G51" s="5">
        <v>39</v>
      </c>
      <c r="H51" s="5">
        <v>1</v>
      </c>
      <c r="I51" s="5">
        <v>0</v>
      </c>
      <c r="J51" s="5">
        <v>3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R51">
        <f>SUM(G50:G51)</f>
        <v>82</v>
      </c>
      <c r="S51">
        <f>SUM(H50:H51)</f>
        <v>3</v>
      </c>
      <c r="T51">
        <f>SUM(I50:I51)</f>
        <v>0</v>
      </c>
    </row>
    <row r="52" spans="1:21" ht="30" x14ac:dyDescent="0.25">
      <c r="A52" s="5">
        <v>13</v>
      </c>
      <c r="B52" s="5" t="s">
        <v>2</v>
      </c>
      <c r="C52" s="4" t="s">
        <v>125</v>
      </c>
      <c r="D52" s="4" t="s">
        <v>126</v>
      </c>
      <c r="E52" s="5"/>
      <c r="F52" s="8">
        <v>42257</v>
      </c>
      <c r="G52" s="5">
        <v>45</v>
      </c>
      <c r="H52" s="5">
        <v>1</v>
      </c>
      <c r="I52" s="5">
        <v>0</v>
      </c>
      <c r="J52" s="5">
        <v>2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U52">
        <f>SUM(J51:J52)</f>
        <v>5</v>
      </c>
    </row>
    <row r="53" spans="1:21" ht="30" x14ac:dyDescent="0.25">
      <c r="A53" s="5">
        <v>13</v>
      </c>
      <c r="B53" s="5" t="s">
        <v>3</v>
      </c>
      <c r="C53" s="4" t="s">
        <v>126</v>
      </c>
      <c r="D53" s="4" t="s">
        <v>127</v>
      </c>
      <c r="E53" s="5"/>
      <c r="F53" s="8">
        <v>42257</v>
      </c>
      <c r="G53" s="5">
        <v>71</v>
      </c>
      <c r="H53" s="5">
        <v>0</v>
      </c>
      <c r="I53" s="5">
        <v>0</v>
      </c>
      <c r="J53" s="5">
        <v>0</v>
      </c>
      <c r="K53" s="5">
        <v>1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R53">
        <f>SUM(G52:G53)</f>
        <v>116</v>
      </c>
      <c r="S53">
        <f>SUM(H52:H53)</f>
        <v>1</v>
      </c>
      <c r="T53">
        <f>SUM(I52:I53)</f>
        <v>0</v>
      </c>
    </row>
    <row r="54" spans="1:21" ht="30" x14ac:dyDescent="0.25">
      <c r="A54" s="5">
        <v>13</v>
      </c>
      <c r="B54" s="5" t="s">
        <v>4</v>
      </c>
      <c r="C54" s="4" t="s">
        <v>127</v>
      </c>
      <c r="D54" s="4" t="s">
        <v>128</v>
      </c>
      <c r="E54" s="5"/>
      <c r="F54" s="8">
        <v>42257</v>
      </c>
      <c r="G54" s="5">
        <v>1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U54">
        <f>SUM(J53:J54)</f>
        <v>0</v>
      </c>
    </row>
    <row r="55" spans="1:21" ht="30" x14ac:dyDescent="0.25">
      <c r="A55" s="5">
        <v>14</v>
      </c>
      <c r="B55" s="5" t="s">
        <v>1</v>
      </c>
      <c r="C55" s="4" t="s">
        <v>128</v>
      </c>
      <c r="D55" s="4" t="s">
        <v>129</v>
      </c>
      <c r="E55" s="5"/>
      <c r="F55" s="8">
        <v>42257</v>
      </c>
      <c r="G55" s="5">
        <v>40</v>
      </c>
      <c r="H55" s="5">
        <v>1</v>
      </c>
      <c r="I55" s="5">
        <v>0</v>
      </c>
      <c r="J55" s="5">
        <v>3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R55">
        <f>SUM(G54:G55)</f>
        <v>41</v>
      </c>
      <c r="S55">
        <f>SUM(H54:H55)</f>
        <v>1</v>
      </c>
      <c r="T55">
        <f>SUM(I54:I55)</f>
        <v>0</v>
      </c>
    </row>
    <row r="56" spans="1:21" ht="30" x14ac:dyDescent="0.25">
      <c r="A56" s="5">
        <v>14</v>
      </c>
      <c r="B56" s="5" t="s">
        <v>2</v>
      </c>
      <c r="C56" s="4" t="s">
        <v>129</v>
      </c>
      <c r="D56" s="4" t="s">
        <v>130</v>
      </c>
      <c r="E56" s="5"/>
      <c r="F56" s="8">
        <v>42257</v>
      </c>
      <c r="G56" s="5">
        <v>15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U56">
        <f>SUM(J55:J56)</f>
        <v>3</v>
      </c>
    </row>
    <row r="57" spans="1:21" ht="30" x14ac:dyDescent="0.25">
      <c r="A57" s="5">
        <v>14</v>
      </c>
      <c r="B57" s="5" t="s">
        <v>3</v>
      </c>
      <c r="C57" s="4" t="s">
        <v>130</v>
      </c>
      <c r="D57" s="4" t="s">
        <v>131</v>
      </c>
      <c r="E57" s="5"/>
      <c r="F57" s="8">
        <v>42257</v>
      </c>
      <c r="G57" s="5">
        <v>10</v>
      </c>
      <c r="H57" s="5">
        <v>0</v>
      </c>
      <c r="I57" s="5">
        <v>0</v>
      </c>
      <c r="J57" s="5">
        <v>1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R57">
        <f>SUM(G56:G57)</f>
        <v>25</v>
      </c>
      <c r="S57">
        <f>SUM(H56:H57)</f>
        <v>0</v>
      </c>
      <c r="T57">
        <f>SUM(I56:I57)</f>
        <v>0</v>
      </c>
    </row>
    <row r="58" spans="1:21" ht="30" x14ac:dyDescent="0.25">
      <c r="A58" s="5">
        <v>14</v>
      </c>
      <c r="B58" s="5" t="s">
        <v>4</v>
      </c>
      <c r="C58" s="4" t="s">
        <v>131</v>
      </c>
      <c r="D58" s="4" t="s">
        <v>135</v>
      </c>
      <c r="E58" s="5"/>
      <c r="F58" s="8">
        <v>42257</v>
      </c>
      <c r="G58" s="5">
        <v>7</v>
      </c>
      <c r="H58" s="5">
        <v>0</v>
      </c>
      <c r="I58" s="5">
        <v>0</v>
      </c>
      <c r="J58" s="5">
        <v>0</v>
      </c>
      <c r="K58" s="5">
        <v>1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U58">
        <f>SUM(J57:J58)</f>
        <v>1</v>
      </c>
    </row>
    <row r="59" spans="1:21" x14ac:dyDescent="0.25">
      <c r="A59" s="5"/>
      <c r="B59" s="5"/>
      <c r="C59" s="5"/>
      <c r="D59" s="5"/>
      <c r="E59" s="5"/>
      <c r="F59" s="5"/>
      <c r="G59" s="5">
        <f>SUM(G3:G58)</f>
        <v>2935</v>
      </c>
      <c r="H59" s="5">
        <f>SUM(H3:H58)</f>
        <v>32</v>
      </c>
      <c r="I59" s="5">
        <f t="shared" ref="I59:P59" si="0">SUM(I3:I58)</f>
        <v>10</v>
      </c>
      <c r="J59" s="5">
        <f t="shared" si="0"/>
        <v>48</v>
      </c>
      <c r="K59" s="5">
        <f t="shared" si="0"/>
        <v>6</v>
      </c>
      <c r="L59" s="5">
        <f t="shared" si="0"/>
        <v>8</v>
      </c>
      <c r="M59" s="5">
        <f t="shared" si="0"/>
        <v>0</v>
      </c>
      <c r="N59" s="5">
        <f t="shared" si="0"/>
        <v>0</v>
      </c>
      <c r="O59" s="5">
        <f t="shared" si="0"/>
        <v>1</v>
      </c>
      <c r="P59" s="5">
        <f t="shared" si="0"/>
        <v>1</v>
      </c>
    </row>
    <row r="60" spans="1:21" x14ac:dyDescent="0.25">
      <c r="A60" s="5"/>
      <c r="B60" s="5"/>
      <c r="C60" s="5"/>
      <c r="D60" s="5"/>
      <c r="E60" s="5"/>
      <c r="F60" s="5">
        <f>SUM(G59:P59)</f>
        <v>3041</v>
      </c>
      <c r="G60" s="5"/>
      <c r="H60" s="5">
        <f>AVERAGE(H3:H58)</f>
        <v>0.5714285714285714</v>
      </c>
      <c r="I60" s="5"/>
      <c r="J60" s="5"/>
      <c r="K60" s="5"/>
      <c r="L60" s="5"/>
      <c r="M60" s="5"/>
      <c r="N60" s="5"/>
      <c r="R60" s="12">
        <f>AVERAGE(R3:R57)</f>
        <v>103.48148148148148</v>
      </c>
    </row>
    <row r="61" spans="1:21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</row>
    <row r="62" spans="1:21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</row>
    <row r="63" spans="1:21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</row>
    <row r="64" spans="1:21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</row>
    <row r="65" spans="1:14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</row>
    <row r="66" spans="1:14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</row>
    <row r="67" spans="1:14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</row>
    <row r="68" spans="1:14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</row>
    <row r="69" spans="1:14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</row>
    <row r="70" spans="1:14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</row>
    <row r="71" spans="1:14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</row>
    <row r="72" spans="1:14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</row>
    <row r="73" spans="1:14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</row>
    <row r="74" spans="1:14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</row>
    <row r="75" spans="1:14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</row>
    <row r="76" spans="1:14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</row>
    <row r="77" spans="1:14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</row>
    <row r="78" spans="1:14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</row>
    <row r="79" spans="1:14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October</vt:lpstr>
      <vt:lpstr>Sept</vt:lpstr>
    </vt:vector>
  </TitlesOfParts>
  <Company>GOA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michelle.fournier</dc:creator>
  <cp:lastModifiedBy>michael.g.sullivan</cp:lastModifiedBy>
  <cp:lastPrinted>2016-01-14T17:41:22Z</cp:lastPrinted>
  <dcterms:created xsi:type="dcterms:W3CDTF">2015-11-02T22:18:47Z</dcterms:created>
  <dcterms:modified xsi:type="dcterms:W3CDTF">2017-02-03T21:22:43Z</dcterms:modified>
</cp:coreProperties>
</file>